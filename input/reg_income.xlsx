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nnewald/GitHub/SimPaths/input/"/>
    </mc:Choice>
  </mc:AlternateContent>
  <xr:revisionPtr revIDLastSave="0" documentId="13_ncr:1_{2FBB0502-3956-D545-8AEB-D47D5C3A873F}" xr6:coauthVersionLast="47" xr6:coauthVersionMax="47" xr10:uidLastSave="{00000000-0000-0000-0000-000000000000}"/>
  <bookViews>
    <workbookView xWindow="0" yWindow="600" windowWidth="38400" windowHeight="19680" activeTab="12" xr2:uid="{00000000-000D-0000-FFFF-FFFF00000000}"/>
  </bookViews>
  <sheets>
    <sheet name="I1a-comp" sheetId="13" r:id="rId1"/>
    <sheet name="I1b-comp" sheetId="14" r:id="rId2"/>
    <sheet name="I2b-comp" sheetId="15" r:id="rId3"/>
    <sheet name="I3a-comp" sheetId="16" r:id="rId4"/>
    <sheet name="I3b-comp" sheetId="17" r:id="rId5"/>
    <sheet name="Info" sheetId="1" r:id="rId6"/>
    <sheet name="Gof" sheetId="2" r:id="rId7"/>
    <sheet name="I1a_orig" sheetId="3" r:id="rId8"/>
    <sheet name="I1b_orig" sheetId="4" r:id="rId9"/>
    <sheet name="I2b_orig" sheetId="5" r:id="rId10"/>
    <sheet name="I3a_orig" sheetId="6" r:id="rId11"/>
    <sheet name="I3b_orig" sheetId="7" r:id="rId12"/>
    <sheet name="I1a" sheetId="8" r:id="rId13"/>
    <sheet name="I1b" sheetId="9" r:id="rId14"/>
    <sheet name="I2b" sheetId="10" r:id="rId15"/>
    <sheet name="I3a" sheetId="11" r:id="rId16"/>
    <sheet name="I3b" sheetId="12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" i="17" l="1"/>
  <c r="D30" i="17"/>
  <c r="B30" i="17"/>
  <c r="G30" i="17" s="1"/>
  <c r="A30" i="17"/>
  <c r="G29" i="17"/>
  <c r="E29" i="17"/>
  <c r="D29" i="17"/>
  <c r="B29" i="17"/>
  <c r="A29" i="17"/>
  <c r="E28" i="17"/>
  <c r="G28" i="17" s="1"/>
  <c r="D28" i="17"/>
  <c r="B28" i="17"/>
  <c r="A28" i="17"/>
  <c r="E27" i="17"/>
  <c r="G27" i="17" s="1"/>
  <c r="D27" i="17"/>
  <c r="B27" i="17"/>
  <c r="A27" i="17"/>
  <c r="E26" i="17"/>
  <c r="D26" i="17"/>
  <c r="B26" i="17"/>
  <c r="G26" i="17" s="1"/>
  <c r="A26" i="17"/>
  <c r="E25" i="17"/>
  <c r="D25" i="17"/>
  <c r="B25" i="17"/>
  <c r="G25" i="17" s="1"/>
  <c r="A25" i="17"/>
  <c r="E24" i="17"/>
  <c r="D24" i="17"/>
  <c r="B24" i="17"/>
  <c r="G24" i="17" s="1"/>
  <c r="A24" i="17"/>
  <c r="G23" i="17"/>
  <c r="E23" i="17"/>
  <c r="D23" i="17"/>
  <c r="B23" i="17"/>
  <c r="A23" i="17"/>
  <c r="E22" i="17"/>
  <c r="G22" i="17" s="1"/>
  <c r="D22" i="17"/>
  <c r="B22" i="17"/>
  <c r="A22" i="17"/>
  <c r="E21" i="17"/>
  <c r="G21" i="17" s="1"/>
  <c r="D21" i="17"/>
  <c r="B21" i="17"/>
  <c r="A21" i="17"/>
  <c r="E20" i="17"/>
  <c r="D20" i="17"/>
  <c r="B20" i="17"/>
  <c r="G20" i="17" s="1"/>
  <c r="A20" i="17"/>
  <c r="E19" i="17"/>
  <c r="D19" i="17"/>
  <c r="B19" i="17"/>
  <c r="G19" i="17" s="1"/>
  <c r="A19" i="17"/>
  <c r="E18" i="17"/>
  <c r="D18" i="17"/>
  <c r="B18" i="17"/>
  <c r="G18" i="17" s="1"/>
  <c r="A18" i="17"/>
  <c r="G17" i="17"/>
  <c r="E17" i="17"/>
  <c r="D17" i="17"/>
  <c r="B17" i="17"/>
  <c r="A17" i="17"/>
  <c r="E16" i="17"/>
  <c r="G16" i="17" s="1"/>
  <c r="D16" i="17"/>
  <c r="B16" i="17"/>
  <c r="A16" i="17"/>
  <c r="E15" i="17"/>
  <c r="G15" i="17" s="1"/>
  <c r="D15" i="17"/>
  <c r="B15" i="17"/>
  <c r="A15" i="17"/>
  <c r="E14" i="17"/>
  <c r="D14" i="17"/>
  <c r="B14" i="17"/>
  <c r="G14" i="17" s="1"/>
  <c r="A14" i="17"/>
  <c r="E13" i="17"/>
  <c r="D13" i="17"/>
  <c r="B13" i="17"/>
  <c r="G13" i="17" s="1"/>
  <c r="A13" i="17"/>
  <c r="E12" i="17"/>
  <c r="D12" i="17"/>
  <c r="B12" i="17"/>
  <c r="G12" i="17" s="1"/>
  <c r="A12" i="17"/>
  <c r="G11" i="17"/>
  <c r="E11" i="17"/>
  <c r="D11" i="17"/>
  <c r="B11" i="17"/>
  <c r="A11" i="17"/>
  <c r="E10" i="17"/>
  <c r="G10" i="17" s="1"/>
  <c r="D10" i="17"/>
  <c r="B10" i="17"/>
  <c r="A10" i="17"/>
  <c r="E9" i="17"/>
  <c r="G9" i="17" s="1"/>
  <c r="D9" i="17"/>
  <c r="B9" i="17"/>
  <c r="A9" i="17"/>
  <c r="E8" i="17"/>
  <c r="D8" i="17"/>
  <c r="B8" i="17"/>
  <c r="G8" i="17" s="1"/>
  <c r="A8" i="17"/>
  <c r="E7" i="17"/>
  <c r="D7" i="17"/>
  <c r="B7" i="17"/>
  <c r="G7" i="17" s="1"/>
  <c r="A7" i="17"/>
  <c r="E6" i="17"/>
  <c r="D6" i="17"/>
  <c r="B6" i="17"/>
  <c r="G6" i="17" s="1"/>
  <c r="A6" i="17"/>
  <c r="G5" i="17"/>
  <c r="E5" i="17"/>
  <c r="D5" i="17"/>
  <c r="B5" i="17"/>
  <c r="A5" i="17"/>
  <c r="E4" i="17"/>
  <c r="G4" i="17" s="1"/>
  <c r="D4" i="17"/>
  <c r="B4" i="17"/>
  <c r="A4" i="17"/>
  <c r="E3" i="17"/>
  <c r="G3" i="17" s="1"/>
  <c r="D3" i="17"/>
  <c r="B3" i="17"/>
  <c r="A3" i="17"/>
  <c r="E2" i="17"/>
  <c r="D2" i="17"/>
  <c r="B2" i="17"/>
  <c r="G2" i="17" s="1"/>
  <c r="A2" i="17"/>
  <c r="E1" i="17"/>
  <c r="D1" i="17"/>
  <c r="B1" i="17"/>
  <c r="A1" i="17"/>
  <c r="G30" i="16"/>
  <c r="E30" i="16"/>
  <c r="D30" i="16"/>
  <c r="B30" i="16"/>
  <c r="A30" i="16"/>
  <c r="E29" i="16"/>
  <c r="G29" i="16" s="1"/>
  <c r="D29" i="16"/>
  <c r="B29" i="16"/>
  <c r="A29" i="16"/>
  <c r="E28" i="16"/>
  <c r="G28" i="16" s="1"/>
  <c r="D28" i="16"/>
  <c r="B28" i="16"/>
  <c r="A28" i="16"/>
  <c r="E27" i="16"/>
  <c r="D27" i="16"/>
  <c r="B27" i="16"/>
  <c r="G27" i="16" s="1"/>
  <c r="A27" i="16"/>
  <c r="E26" i="16"/>
  <c r="D26" i="16"/>
  <c r="B26" i="16"/>
  <c r="G26" i="16" s="1"/>
  <c r="A26" i="16"/>
  <c r="E25" i="16"/>
  <c r="D25" i="16"/>
  <c r="B25" i="16"/>
  <c r="G25" i="16" s="1"/>
  <c r="A25" i="16"/>
  <c r="G24" i="16"/>
  <c r="E24" i="16"/>
  <c r="D24" i="16"/>
  <c r="B24" i="16"/>
  <c r="A24" i="16"/>
  <c r="E23" i="16"/>
  <c r="G23" i="16" s="1"/>
  <c r="D23" i="16"/>
  <c r="B23" i="16"/>
  <c r="A23" i="16"/>
  <c r="E22" i="16"/>
  <c r="G22" i="16" s="1"/>
  <c r="D22" i="16"/>
  <c r="B22" i="16"/>
  <c r="A22" i="16"/>
  <c r="E21" i="16"/>
  <c r="D21" i="16"/>
  <c r="B21" i="16"/>
  <c r="G21" i="16" s="1"/>
  <c r="A21" i="16"/>
  <c r="E20" i="16"/>
  <c r="D20" i="16"/>
  <c r="B20" i="16"/>
  <c r="G20" i="16" s="1"/>
  <c r="A20" i="16"/>
  <c r="E19" i="16"/>
  <c r="D19" i="16"/>
  <c r="B19" i="16"/>
  <c r="G19" i="16" s="1"/>
  <c r="A19" i="16"/>
  <c r="G18" i="16"/>
  <c r="E18" i="16"/>
  <c r="D18" i="16"/>
  <c r="B18" i="16"/>
  <c r="A18" i="16"/>
  <c r="E17" i="16"/>
  <c r="G17" i="16" s="1"/>
  <c r="D17" i="16"/>
  <c r="B17" i="16"/>
  <c r="A17" i="16"/>
  <c r="E16" i="16"/>
  <c r="G16" i="16" s="1"/>
  <c r="D16" i="16"/>
  <c r="B16" i="16"/>
  <c r="A16" i="16"/>
  <c r="E15" i="16"/>
  <c r="D15" i="16"/>
  <c r="B15" i="16"/>
  <c r="G15" i="16" s="1"/>
  <c r="A15" i="16"/>
  <c r="E14" i="16"/>
  <c r="D14" i="16"/>
  <c r="B14" i="16"/>
  <c r="G14" i="16" s="1"/>
  <c r="A14" i="16"/>
  <c r="E13" i="16"/>
  <c r="D13" i="16"/>
  <c r="B13" i="16"/>
  <c r="G13" i="16" s="1"/>
  <c r="A13" i="16"/>
  <c r="G12" i="16"/>
  <c r="E12" i="16"/>
  <c r="D12" i="16"/>
  <c r="B12" i="16"/>
  <c r="A12" i="16"/>
  <c r="E11" i="16"/>
  <c r="G11" i="16" s="1"/>
  <c r="D11" i="16"/>
  <c r="B11" i="16"/>
  <c r="A11" i="16"/>
  <c r="E10" i="16"/>
  <c r="G10" i="16" s="1"/>
  <c r="D10" i="16"/>
  <c r="B10" i="16"/>
  <c r="A10" i="16"/>
  <c r="E9" i="16"/>
  <c r="D9" i="16"/>
  <c r="B9" i="16"/>
  <c r="G9" i="16" s="1"/>
  <c r="A9" i="16"/>
  <c r="E8" i="16"/>
  <c r="D8" i="16"/>
  <c r="B8" i="16"/>
  <c r="G8" i="16" s="1"/>
  <c r="A8" i="16"/>
  <c r="E7" i="16"/>
  <c r="D7" i="16"/>
  <c r="B7" i="16"/>
  <c r="G7" i="16" s="1"/>
  <c r="A7" i="16"/>
  <c r="G6" i="16"/>
  <c r="E6" i="16"/>
  <c r="D6" i="16"/>
  <c r="B6" i="16"/>
  <c r="A6" i="16"/>
  <c r="E5" i="16"/>
  <c r="G5" i="16" s="1"/>
  <c r="D5" i="16"/>
  <c r="B5" i="16"/>
  <c r="A5" i="16"/>
  <c r="E4" i="16"/>
  <c r="G4" i="16" s="1"/>
  <c r="D4" i="16"/>
  <c r="B4" i="16"/>
  <c r="A4" i="16"/>
  <c r="E3" i="16"/>
  <c r="D3" i="16"/>
  <c r="B3" i="16"/>
  <c r="G3" i="16" s="1"/>
  <c r="A3" i="16"/>
  <c r="E2" i="16"/>
  <c r="D2" i="16"/>
  <c r="B2" i="16"/>
  <c r="G2" i="16" s="1"/>
  <c r="A2" i="16"/>
  <c r="E1" i="16"/>
  <c r="D1" i="16"/>
  <c r="B1" i="16"/>
  <c r="A1" i="16"/>
  <c r="E30" i="15"/>
  <c r="G30" i="15" s="1"/>
  <c r="D30" i="15"/>
  <c r="B30" i="15"/>
  <c r="A30" i="15"/>
  <c r="E29" i="15"/>
  <c r="G29" i="15" s="1"/>
  <c r="D29" i="15"/>
  <c r="B29" i="15"/>
  <c r="A29" i="15"/>
  <c r="E28" i="15"/>
  <c r="D28" i="15"/>
  <c r="B28" i="15"/>
  <c r="G28" i="15" s="1"/>
  <c r="A28" i="15"/>
  <c r="E27" i="15"/>
  <c r="D27" i="15"/>
  <c r="B27" i="15"/>
  <c r="G27" i="15" s="1"/>
  <c r="A27" i="15"/>
  <c r="E26" i="15"/>
  <c r="D26" i="15"/>
  <c r="B26" i="15"/>
  <c r="G26" i="15" s="1"/>
  <c r="A26" i="15"/>
  <c r="G25" i="15"/>
  <c r="E25" i="15"/>
  <c r="D25" i="15"/>
  <c r="B25" i="15"/>
  <c r="A25" i="15"/>
  <c r="E24" i="15"/>
  <c r="G24" i="15" s="1"/>
  <c r="D24" i="15"/>
  <c r="B24" i="15"/>
  <c r="A24" i="15"/>
  <c r="E23" i="15"/>
  <c r="G23" i="15" s="1"/>
  <c r="D23" i="15"/>
  <c r="B23" i="15"/>
  <c r="A23" i="15"/>
  <c r="E22" i="15"/>
  <c r="D22" i="15"/>
  <c r="B22" i="15"/>
  <c r="G22" i="15" s="1"/>
  <c r="A22" i="15"/>
  <c r="E21" i="15"/>
  <c r="D21" i="15"/>
  <c r="B21" i="15"/>
  <c r="G21" i="15" s="1"/>
  <c r="A21" i="15"/>
  <c r="E20" i="15"/>
  <c r="D20" i="15"/>
  <c r="B20" i="15"/>
  <c r="G20" i="15" s="1"/>
  <c r="A20" i="15"/>
  <c r="G19" i="15"/>
  <c r="E19" i="15"/>
  <c r="D19" i="15"/>
  <c r="B19" i="15"/>
  <c r="A19" i="15"/>
  <c r="E18" i="15"/>
  <c r="G18" i="15" s="1"/>
  <c r="D18" i="15"/>
  <c r="B18" i="15"/>
  <c r="A18" i="15"/>
  <c r="E17" i="15"/>
  <c r="G17" i="15" s="1"/>
  <c r="D17" i="15"/>
  <c r="B17" i="15"/>
  <c r="A17" i="15"/>
  <c r="E16" i="15"/>
  <c r="D16" i="15"/>
  <c r="B16" i="15"/>
  <c r="G16" i="15" s="1"/>
  <c r="A16" i="15"/>
  <c r="E15" i="15"/>
  <c r="D15" i="15"/>
  <c r="B15" i="15"/>
  <c r="G15" i="15" s="1"/>
  <c r="A15" i="15"/>
  <c r="E14" i="15"/>
  <c r="D14" i="15"/>
  <c r="B14" i="15"/>
  <c r="G14" i="15" s="1"/>
  <c r="A14" i="15"/>
  <c r="G13" i="15"/>
  <c r="E13" i="15"/>
  <c r="D13" i="15"/>
  <c r="B13" i="15"/>
  <c r="A13" i="15"/>
  <c r="E12" i="15"/>
  <c r="G12" i="15" s="1"/>
  <c r="D12" i="15"/>
  <c r="B12" i="15"/>
  <c r="A12" i="15"/>
  <c r="E11" i="15"/>
  <c r="G11" i="15" s="1"/>
  <c r="D11" i="15"/>
  <c r="B11" i="15"/>
  <c r="A11" i="15"/>
  <c r="E10" i="15"/>
  <c r="D10" i="15"/>
  <c r="B10" i="15"/>
  <c r="G10" i="15" s="1"/>
  <c r="A10" i="15"/>
  <c r="E9" i="15"/>
  <c r="D9" i="15"/>
  <c r="B9" i="15"/>
  <c r="G9" i="15" s="1"/>
  <c r="A9" i="15"/>
  <c r="E8" i="15"/>
  <c r="D8" i="15"/>
  <c r="B8" i="15"/>
  <c r="G8" i="15" s="1"/>
  <c r="A8" i="15"/>
  <c r="G7" i="15"/>
  <c r="E7" i="15"/>
  <c r="D7" i="15"/>
  <c r="B7" i="15"/>
  <c r="A7" i="15"/>
  <c r="E6" i="15"/>
  <c r="G6" i="15" s="1"/>
  <c r="D6" i="15"/>
  <c r="B6" i="15"/>
  <c r="A6" i="15"/>
  <c r="E5" i="15"/>
  <c r="G5" i="15" s="1"/>
  <c r="D5" i="15"/>
  <c r="B5" i="15"/>
  <c r="A5" i="15"/>
  <c r="E4" i="15"/>
  <c r="D4" i="15"/>
  <c r="B4" i="15"/>
  <c r="G4" i="15" s="1"/>
  <c r="A4" i="15"/>
  <c r="E3" i="15"/>
  <c r="D3" i="15"/>
  <c r="B3" i="15"/>
  <c r="G3" i="15" s="1"/>
  <c r="A3" i="15"/>
  <c r="E2" i="15"/>
  <c r="D2" i="15"/>
  <c r="B2" i="15"/>
  <c r="G2" i="15" s="1"/>
  <c r="A2" i="15"/>
  <c r="E1" i="15"/>
  <c r="D1" i="15"/>
  <c r="B1" i="15"/>
  <c r="A1" i="15"/>
  <c r="E42" i="13"/>
  <c r="D42" i="13"/>
  <c r="B42" i="13"/>
  <c r="A42" i="13"/>
  <c r="E41" i="13"/>
  <c r="D41" i="13"/>
  <c r="B41" i="13"/>
  <c r="G41" i="13" s="1"/>
  <c r="A41" i="13"/>
  <c r="E40" i="13"/>
  <c r="D40" i="13"/>
  <c r="B40" i="13"/>
  <c r="G40" i="13" s="1"/>
  <c r="A40" i="13"/>
  <c r="E39" i="13"/>
  <c r="D39" i="13"/>
  <c r="B39" i="13"/>
  <c r="G39" i="13" s="1"/>
  <c r="A39" i="13"/>
  <c r="E38" i="13"/>
  <c r="D38" i="13"/>
  <c r="B38" i="13"/>
  <c r="G38" i="13" s="1"/>
  <c r="A38" i="13"/>
  <c r="E37" i="13"/>
  <c r="D37" i="13"/>
  <c r="B37" i="13"/>
  <c r="A37" i="13"/>
  <c r="E36" i="13"/>
  <c r="D36" i="13"/>
  <c r="B36" i="13"/>
  <c r="A36" i="13"/>
  <c r="E35" i="13"/>
  <c r="D35" i="13"/>
  <c r="B35" i="13"/>
  <c r="G35" i="13" s="1"/>
  <c r="A35" i="13"/>
  <c r="E34" i="13"/>
  <c r="D34" i="13"/>
  <c r="B34" i="13"/>
  <c r="G34" i="13" s="1"/>
  <c r="A34" i="13"/>
  <c r="E33" i="13"/>
  <c r="D33" i="13"/>
  <c r="B33" i="13"/>
  <c r="G33" i="13" s="1"/>
  <c r="A33" i="13"/>
  <c r="E32" i="13"/>
  <c r="D32" i="13"/>
  <c r="B32" i="13"/>
  <c r="G32" i="13" s="1"/>
  <c r="A32" i="13"/>
  <c r="E31" i="13"/>
  <c r="G31" i="13" s="1"/>
  <c r="D31" i="13"/>
  <c r="B31" i="13"/>
  <c r="A31" i="13"/>
  <c r="E30" i="13"/>
  <c r="D30" i="13"/>
  <c r="B30" i="13"/>
  <c r="A30" i="13"/>
  <c r="E29" i="13"/>
  <c r="D29" i="13"/>
  <c r="B29" i="13"/>
  <c r="G29" i="13" s="1"/>
  <c r="A29" i="13"/>
  <c r="E28" i="13"/>
  <c r="D28" i="13"/>
  <c r="B28" i="13"/>
  <c r="G28" i="13" s="1"/>
  <c r="A28" i="13"/>
  <c r="E27" i="13"/>
  <c r="D27" i="13"/>
  <c r="B27" i="13"/>
  <c r="G27" i="13" s="1"/>
  <c r="A27" i="13"/>
  <c r="E26" i="13"/>
  <c r="D26" i="13"/>
  <c r="B26" i="13"/>
  <c r="G26" i="13" s="1"/>
  <c r="A26" i="13"/>
  <c r="E25" i="13"/>
  <c r="G25" i="13" s="1"/>
  <c r="D25" i="13"/>
  <c r="B25" i="13"/>
  <c r="A25" i="13"/>
  <c r="E24" i="13"/>
  <c r="D24" i="13"/>
  <c r="B24" i="13"/>
  <c r="A24" i="13"/>
  <c r="E23" i="13"/>
  <c r="D23" i="13"/>
  <c r="B23" i="13"/>
  <c r="G23" i="13" s="1"/>
  <c r="A23" i="13"/>
  <c r="E22" i="13"/>
  <c r="D22" i="13"/>
  <c r="B22" i="13"/>
  <c r="G22" i="13" s="1"/>
  <c r="A22" i="13"/>
  <c r="E21" i="13"/>
  <c r="D21" i="13"/>
  <c r="B21" i="13"/>
  <c r="G21" i="13" s="1"/>
  <c r="A21" i="13"/>
  <c r="E20" i="13"/>
  <c r="D20" i="13"/>
  <c r="B20" i="13"/>
  <c r="G20" i="13" s="1"/>
  <c r="A20" i="13"/>
  <c r="E19" i="13"/>
  <c r="D19" i="13"/>
  <c r="B19" i="13"/>
  <c r="A19" i="13"/>
  <c r="E18" i="13"/>
  <c r="D18" i="13"/>
  <c r="B18" i="13"/>
  <c r="A18" i="13"/>
  <c r="E17" i="13"/>
  <c r="D17" i="13"/>
  <c r="B17" i="13"/>
  <c r="G17" i="13" s="1"/>
  <c r="A17" i="13"/>
  <c r="E16" i="13"/>
  <c r="D16" i="13"/>
  <c r="B16" i="13"/>
  <c r="G16" i="13" s="1"/>
  <c r="A16" i="13"/>
  <c r="E15" i="13"/>
  <c r="D15" i="13"/>
  <c r="B15" i="13"/>
  <c r="G15" i="13" s="1"/>
  <c r="A15" i="13"/>
  <c r="E14" i="13"/>
  <c r="D14" i="13"/>
  <c r="B14" i="13"/>
  <c r="G14" i="13" s="1"/>
  <c r="A14" i="13"/>
  <c r="E13" i="13"/>
  <c r="D13" i="13"/>
  <c r="B13" i="13"/>
  <c r="A13" i="13"/>
  <c r="E12" i="13"/>
  <c r="D12" i="13"/>
  <c r="B12" i="13"/>
  <c r="A12" i="13"/>
  <c r="E11" i="13"/>
  <c r="D11" i="13"/>
  <c r="B11" i="13"/>
  <c r="G11" i="13" s="1"/>
  <c r="A11" i="13"/>
  <c r="E10" i="13"/>
  <c r="D10" i="13"/>
  <c r="B10" i="13"/>
  <c r="G10" i="13" s="1"/>
  <c r="A10" i="13"/>
  <c r="E9" i="13"/>
  <c r="D9" i="13"/>
  <c r="B9" i="13"/>
  <c r="G9" i="13" s="1"/>
  <c r="A9" i="13"/>
  <c r="G8" i="13"/>
  <c r="E8" i="13"/>
  <c r="D8" i="13"/>
  <c r="B8" i="13"/>
  <c r="A8" i="13"/>
  <c r="E7" i="13"/>
  <c r="G7" i="13" s="1"/>
  <c r="D7" i="13"/>
  <c r="B7" i="13"/>
  <c r="A7" i="13"/>
  <c r="E6" i="13"/>
  <c r="D6" i="13"/>
  <c r="B6" i="13"/>
  <c r="A6" i="13"/>
  <c r="E5" i="13"/>
  <c r="D5" i="13"/>
  <c r="B5" i="13"/>
  <c r="G5" i="13" s="1"/>
  <c r="A5" i="13"/>
  <c r="E4" i="13"/>
  <c r="D4" i="13"/>
  <c r="B4" i="13"/>
  <c r="G4" i="13" s="1"/>
  <c r="A4" i="13"/>
  <c r="E3" i="13"/>
  <c r="D3" i="13"/>
  <c r="B3" i="13"/>
  <c r="G3" i="13" s="1"/>
  <c r="A3" i="13"/>
  <c r="E2" i="13"/>
  <c r="D2" i="13"/>
  <c r="B2" i="13"/>
  <c r="G2" i="13" s="1"/>
  <c r="A2" i="13"/>
  <c r="E1" i="13"/>
  <c r="D1" i="13"/>
  <c r="B1" i="13"/>
  <c r="A1" i="13"/>
  <c r="E40" i="14"/>
  <c r="D40" i="14"/>
  <c r="B40" i="14"/>
  <c r="G40" i="14" s="1"/>
  <c r="A40" i="14"/>
  <c r="E39" i="14"/>
  <c r="D39" i="14"/>
  <c r="B39" i="14"/>
  <c r="G39" i="14" s="1"/>
  <c r="A39" i="14"/>
  <c r="E38" i="14"/>
  <c r="D38" i="14"/>
  <c r="B38" i="14"/>
  <c r="G38" i="14" s="1"/>
  <c r="A38" i="14"/>
  <c r="G37" i="14"/>
  <c r="E37" i="14"/>
  <c r="D37" i="14"/>
  <c r="B37" i="14"/>
  <c r="A37" i="14"/>
  <c r="E36" i="14"/>
  <c r="G36" i="14" s="1"/>
  <c r="D36" i="14"/>
  <c r="B36" i="14"/>
  <c r="A36" i="14"/>
  <c r="E35" i="14"/>
  <c r="G35" i="14" s="1"/>
  <c r="D35" i="14"/>
  <c r="B35" i="14"/>
  <c r="A35" i="14"/>
  <c r="E34" i="14"/>
  <c r="D34" i="14"/>
  <c r="B34" i="14"/>
  <c r="G34" i="14" s="1"/>
  <c r="A34" i="14"/>
  <c r="E33" i="14"/>
  <c r="D33" i="14"/>
  <c r="B33" i="14"/>
  <c r="G33" i="14" s="1"/>
  <c r="A33" i="14"/>
  <c r="E32" i="14"/>
  <c r="D32" i="14"/>
  <c r="B32" i="14"/>
  <c r="G32" i="14" s="1"/>
  <c r="A32" i="14"/>
  <c r="G31" i="14"/>
  <c r="E31" i="14"/>
  <c r="D31" i="14"/>
  <c r="B31" i="14"/>
  <c r="A31" i="14"/>
  <c r="E30" i="14"/>
  <c r="G30" i="14" s="1"/>
  <c r="D30" i="14"/>
  <c r="B30" i="14"/>
  <c r="A30" i="14"/>
  <c r="E29" i="14"/>
  <c r="G29" i="14" s="1"/>
  <c r="D29" i="14"/>
  <c r="B29" i="14"/>
  <c r="A29" i="14"/>
  <c r="E28" i="14"/>
  <c r="D28" i="14"/>
  <c r="B28" i="14"/>
  <c r="G28" i="14" s="1"/>
  <c r="A28" i="14"/>
  <c r="E27" i="14"/>
  <c r="D27" i="14"/>
  <c r="B27" i="14"/>
  <c r="G27" i="14" s="1"/>
  <c r="A27" i="14"/>
  <c r="E26" i="14"/>
  <c r="D26" i="14"/>
  <c r="B26" i="14"/>
  <c r="G26" i="14" s="1"/>
  <c r="A26" i="14"/>
  <c r="G25" i="14"/>
  <c r="E25" i="14"/>
  <c r="D25" i="14"/>
  <c r="B25" i="14"/>
  <c r="A25" i="14"/>
  <c r="E24" i="14"/>
  <c r="G24" i="14" s="1"/>
  <c r="D24" i="14"/>
  <c r="B24" i="14"/>
  <c r="A24" i="14"/>
  <c r="E23" i="14"/>
  <c r="G23" i="14" s="1"/>
  <c r="D23" i="14"/>
  <c r="B23" i="14"/>
  <c r="A23" i="14"/>
  <c r="E22" i="14"/>
  <c r="D22" i="14"/>
  <c r="B22" i="14"/>
  <c r="G22" i="14" s="1"/>
  <c r="A22" i="14"/>
  <c r="E21" i="14"/>
  <c r="D21" i="14"/>
  <c r="B21" i="14"/>
  <c r="G21" i="14" s="1"/>
  <c r="A21" i="14"/>
  <c r="E20" i="14"/>
  <c r="D20" i="14"/>
  <c r="B20" i="14"/>
  <c r="G20" i="14" s="1"/>
  <c r="A20" i="14"/>
  <c r="G19" i="14"/>
  <c r="E19" i="14"/>
  <c r="D19" i="14"/>
  <c r="B19" i="14"/>
  <c r="A19" i="14"/>
  <c r="E18" i="14"/>
  <c r="G18" i="14" s="1"/>
  <c r="D18" i="14"/>
  <c r="B18" i="14"/>
  <c r="A18" i="14"/>
  <c r="E17" i="14"/>
  <c r="G17" i="14" s="1"/>
  <c r="D17" i="14"/>
  <c r="B17" i="14"/>
  <c r="A17" i="14"/>
  <c r="E16" i="14"/>
  <c r="D16" i="14"/>
  <c r="B16" i="14"/>
  <c r="G16" i="14" s="1"/>
  <c r="A16" i="14"/>
  <c r="E15" i="14"/>
  <c r="D15" i="14"/>
  <c r="B15" i="14"/>
  <c r="G15" i="14" s="1"/>
  <c r="A15" i="14"/>
  <c r="E14" i="14"/>
  <c r="D14" i="14"/>
  <c r="B14" i="14"/>
  <c r="G14" i="14" s="1"/>
  <c r="A14" i="14"/>
  <c r="G13" i="14"/>
  <c r="E13" i="14"/>
  <c r="D13" i="14"/>
  <c r="B13" i="14"/>
  <c r="A13" i="14"/>
  <c r="E12" i="14"/>
  <c r="G12" i="14" s="1"/>
  <c r="D12" i="14"/>
  <c r="B12" i="14"/>
  <c r="A12" i="14"/>
  <c r="E11" i="14"/>
  <c r="G11" i="14" s="1"/>
  <c r="D11" i="14"/>
  <c r="B11" i="14"/>
  <c r="A11" i="14"/>
  <c r="E10" i="14"/>
  <c r="D10" i="14"/>
  <c r="B10" i="14"/>
  <c r="G10" i="14" s="1"/>
  <c r="A10" i="14"/>
  <c r="E9" i="14"/>
  <c r="D9" i="14"/>
  <c r="B9" i="14"/>
  <c r="G9" i="14" s="1"/>
  <c r="A9" i="14"/>
  <c r="E8" i="14"/>
  <c r="D8" i="14"/>
  <c r="B8" i="14"/>
  <c r="G8" i="14" s="1"/>
  <c r="A8" i="14"/>
  <c r="G7" i="14"/>
  <c r="E7" i="14"/>
  <c r="D7" i="14"/>
  <c r="B7" i="14"/>
  <c r="A7" i="14"/>
  <c r="E6" i="14"/>
  <c r="G6" i="14" s="1"/>
  <c r="D6" i="14"/>
  <c r="B6" i="14"/>
  <c r="A6" i="14"/>
  <c r="E5" i="14"/>
  <c r="G5" i="14" s="1"/>
  <c r="D5" i="14"/>
  <c r="B5" i="14"/>
  <c r="A5" i="14"/>
  <c r="E4" i="14"/>
  <c r="D4" i="14"/>
  <c r="B4" i="14"/>
  <c r="G4" i="14" s="1"/>
  <c r="A4" i="14"/>
  <c r="E3" i="14"/>
  <c r="D3" i="14"/>
  <c r="B3" i="14"/>
  <c r="G3" i="14" s="1"/>
  <c r="A3" i="14"/>
  <c r="E2" i="14"/>
  <c r="D2" i="14"/>
  <c r="B2" i="14"/>
  <c r="G2" i="14" s="1"/>
  <c r="A2" i="14"/>
  <c r="E1" i="14"/>
  <c r="D1" i="14"/>
  <c r="B1" i="14"/>
  <c r="A1" i="14"/>
  <c r="G24" i="13" l="1"/>
  <c r="G30" i="13"/>
  <c r="G36" i="13"/>
  <c r="G37" i="13"/>
  <c r="G6" i="13"/>
  <c r="G12" i="13"/>
  <c r="G18" i="13"/>
  <c r="G13" i="13"/>
  <c r="G19" i="13"/>
  <c r="G42" i="13"/>
</calcChain>
</file>

<file path=xl/sharedStrings.xml><?xml version="1.0" encoding="utf-8"?>
<sst xmlns="http://schemas.openxmlformats.org/spreadsheetml/2006/main" count="735" uniqueCount="111">
  <si>
    <t>Description:</t>
  </si>
  <si>
    <t xml:space="preserve">This file contains regression estimates used by processes I1 (capital income), I2 (private pension, retired last year), I3 (private pension income, not retired last year) </t>
  </si>
  <si>
    <t>Authors:</t>
  </si>
  <si>
    <t>Process:</t>
  </si>
  <si>
    <t>Process I1a</t>
  </si>
  <si>
    <t xml:space="preserve">Prob. receive capital income </t>
  </si>
  <si>
    <t>Process I1b</t>
  </si>
  <si>
    <t>Capital income amount</t>
  </si>
  <si>
    <t>Process I2b</t>
  </si>
  <si>
    <t>Private pension income amount</t>
  </si>
  <si>
    <t>Process I3a</t>
  </si>
  <si>
    <t>Prob. receive private pension income</t>
  </si>
  <si>
    <t>Process I3b</t>
  </si>
  <si>
    <t>Notes:</t>
  </si>
  <si>
    <t>Estimation sample: UK_ipop2.dta with grossing up weight dwt</t>
  </si>
  <si>
    <t>Conditions for processes are defined as globals in master.do</t>
  </si>
  <si>
    <t>Combined former capital income processes I3a and I3b and renamed as I1a and I1b</t>
  </si>
  <si>
    <t>Income variables are IHS transformed.</t>
  </si>
  <si>
    <t>Goodness of fit</t>
  </si>
  <si>
    <t>REGRESSOR</t>
  </si>
  <si>
    <t>COEFFICIENT</t>
  </si>
  <si>
    <t>Ded</t>
  </si>
  <si>
    <t>Dgn</t>
  </si>
  <si>
    <t>Dag</t>
  </si>
  <si>
    <t>Dag_sq</t>
  </si>
  <si>
    <t>Dhe_pcs_L1</t>
  </si>
  <si>
    <t>Dhe_mcs_L1</t>
  </si>
  <si>
    <t>Ypncp_L1</t>
  </si>
  <si>
    <t>Yplgrs_dv_L1</t>
  </si>
  <si>
    <t>Yplgrs_dv_L2</t>
  </si>
  <si>
    <t>Ypncp_L2</t>
  </si>
  <si>
    <t>Ded_Dgn</t>
  </si>
  <si>
    <t>Ded_Dhe_pcs_L1</t>
  </si>
  <si>
    <t>Ded_Dhe_mcs_L1</t>
  </si>
  <si>
    <t>Ded_Ypncp_L1</t>
  </si>
  <si>
    <t>Ded_Ypncp_L2</t>
  </si>
  <si>
    <t>Deh_c4_Low</t>
  </si>
  <si>
    <t>Deh_c4_Medium</t>
  </si>
  <si>
    <t>Les_c4_Student_L1</t>
  </si>
  <si>
    <t>Les_c4_NotEmployed_L1</t>
  </si>
  <si>
    <t>Les_c4_Retired_L1</t>
  </si>
  <si>
    <t>Dhhtp_c4_CoupleChildren_L1</t>
  </si>
  <si>
    <t>Dhhtp_c4_SingleNoChildren_L1</t>
  </si>
  <si>
    <t>Dhhtp_c4_SingleChildren_L1</t>
  </si>
  <si>
    <t>Year_transformed</t>
  </si>
  <si>
    <t>Y2020</t>
  </si>
  <si>
    <t>Y2021</t>
  </si>
  <si>
    <t>Constant</t>
  </si>
  <si>
    <t xml:space="preserve">I1a - Receive capital income </t>
  </si>
  <si>
    <t>Pseudo R-squared</t>
  </si>
  <si>
    <t>N</t>
  </si>
  <si>
    <t>Chi^2</t>
  </si>
  <si>
    <t>Log likelihood</t>
  </si>
  <si>
    <t>Deh_c4_High</t>
  </si>
  <si>
    <t>I1b - Amount of capital income</t>
  </si>
  <si>
    <t>R-squared</t>
  </si>
  <si>
    <t>Ypnoab_L1</t>
  </si>
  <si>
    <t>Ypnoab_L2</t>
  </si>
  <si>
    <t>I2b - Amount of private pension income</t>
  </si>
  <si>
    <t>Reached_Retirement_Age</t>
  </si>
  <si>
    <t>Hourly_wage_L1</t>
  </si>
  <si>
    <t xml:space="preserve">I3a - Receive private pension income </t>
  </si>
  <si>
    <t>I3b - Amount of private pension income</t>
  </si>
  <si>
    <t>Patryk Bronka, Justin Van de Ven, Daria Popova, Aleksandra Kolndrekaj, Ashley Burdett</t>
  </si>
  <si>
    <t xml:space="preserve">Last edit: 15 April 2026 (DP) </t>
  </si>
  <si>
    <t>eduSampleFlag</t>
  </si>
  <si>
    <t>demMaleFlag</t>
  </si>
  <si>
    <t>demAge</t>
  </si>
  <si>
    <t>demAgeSq</t>
  </si>
  <si>
    <t>healthPhysicalPcsL1</t>
  </si>
  <si>
    <t>healthMentalMcsL1</t>
  </si>
  <si>
    <t>yCapitalPersMonthL1</t>
  </si>
  <si>
    <t>yEmpPersGrossMonthL1</t>
  </si>
  <si>
    <t>yCapitalPersMonthL2</t>
  </si>
  <si>
    <t>yEmpPersGrossMonthL2</t>
  </si>
  <si>
    <t>eduSampleFlag_Male</t>
  </si>
  <si>
    <t>eduSampleFlag_PcsL1</t>
  </si>
  <si>
    <t>eduSampleFlag_McsL1</t>
  </si>
  <si>
    <t>eduSampleFlag_yCapitalPersL1</t>
  </si>
  <si>
    <t>eduSampleFlag_yCapitalPersL2</t>
  </si>
  <si>
    <t>labStatusC4StudentL1</t>
  </si>
  <si>
    <t>labStatusC4NotEmployedL1</t>
  </si>
  <si>
    <t>labStatusC4RetiredL1</t>
  </si>
  <si>
    <t>demCompHhC4CoupleChL1</t>
  </si>
  <si>
    <t>demCompHhC4SingleNoChL1</t>
  </si>
  <si>
    <t>demRgnUKC</t>
  </si>
  <si>
    <t>demRgnUKD</t>
  </si>
  <si>
    <t>demRgnUKE</t>
  </si>
  <si>
    <t>demRgnUKF</t>
  </si>
  <si>
    <t>demRgnUKG</t>
  </si>
  <si>
    <t>demRgnUKH</t>
  </si>
  <si>
    <t>demRgnUKJ</t>
  </si>
  <si>
    <t>demRgnUKK</t>
  </si>
  <si>
    <t>demRgnUKL</t>
  </si>
  <si>
    <t>demRgnUKM</t>
  </si>
  <si>
    <t>demRgnUKN</t>
  </si>
  <si>
    <t>demYear2020</t>
  </si>
  <si>
    <t>demYear2021</t>
  </si>
  <si>
    <t>demEthnC4Asian</t>
  </si>
  <si>
    <t>demEthnC4Black</t>
  </si>
  <si>
    <t>demEthnC4Other</t>
  </si>
  <si>
    <t>eduHighestC4High</t>
  </si>
  <si>
    <t>eduHighestC4Medium</t>
  </si>
  <si>
    <t>yPensPersGrossMonthL1</t>
  </si>
  <si>
    <t>yPensPersGrossMonthL2</t>
  </si>
  <si>
    <t>demPensAgeFlag</t>
  </si>
  <si>
    <t>eduHighestC4Low</t>
  </si>
  <si>
    <t>demCompHhC4SingleChL1</t>
  </si>
  <si>
    <t>comp</t>
  </si>
  <si>
    <t>labWageHrlyLogL1</t>
  </si>
  <si>
    <t>demYearTransformed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</si>
</sst>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 x14ac:knownFonts="1">
    <font>
      <sz val="11"/>
      <name val="Calibri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7" xfId="0" applyFont="1" applyBorder="1"/>
    <xf numFmtId="0" fontId="8" fillId="0" borderId="8" xfId="0" applyFont="1" applyBorder="1"/>
    <xf numFmtId="0" fontId="9" fillId="0" borderId="9" xfId="0" applyFont="1" applyBorder="1"/>
    <xf numFmtId="0" fontId="10" fillId="0" borderId="1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G42"/>
  <sheetViews>
    <sheetView topLeftCell="A28" workbookViewId="0">
      <selection activeCell="G28" sqref="G1:G1048576"/>
    </sheetView>
  </sheetViews>
  <sheetFormatPr baseColWidth="10" defaultColWidth="8.83203125" defaultRowHeight="15" x14ac:dyDescent="0.2"/>
  <cols>
    <col min="1" max="1" width="33" customWidth="1"/>
    <col min="4" max="4" width="24.5" customWidth="1"/>
  </cols>
  <sheetData>
    <row r="1" spans="1:7" x14ac:dyDescent="0.2">
      <c r="A1" t="str">
        <f>I1a!A1</f>
        <v>REGRESSOR</v>
      </c>
      <c r="B1" t="str">
        <f>I1a!B1</f>
        <v>COEFFICIENT</v>
      </c>
      <c r="D1" t="str">
        <f>I1a_orig!A1</f>
        <v>REGRESSOR</v>
      </c>
      <c r="E1" t="str">
        <f>I1a_orig!B1</f>
        <v>COEFFICIENT</v>
      </c>
      <c r="G1" t="s">
        <v>108</v>
      </c>
    </row>
    <row r="2" spans="1:7" x14ac:dyDescent="0.2">
      <c r="A2" t="str">
        <f>I1a!A2</f>
        <v>eduSampleFlag</v>
      </c>
      <c r="B2">
        <f>I1a!B2</f>
        <v>0.21420725256600995</v>
      </c>
      <c r="D2" t="str">
        <f>I1a_orig!A2</f>
        <v>Ded</v>
      </c>
      <c r="E2">
        <f>I1a_orig!B2</f>
        <v>0.2142072525660092</v>
      </c>
      <c r="G2" s="1">
        <f>B2-E2</f>
        <v>7.4940054162198066E-16</v>
      </c>
    </row>
    <row r="3" spans="1:7" x14ac:dyDescent="0.2">
      <c r="A3" t="str">
        <f>I1a!A3</f>
        <v>demMaleFlag</v>
      </c>
      <c r="B3">
        <f>I1a!B3</f>
        <v>-5.6755812572368836E-2</v>
      </c>
      <c r="D3" t="str">
        <f>I1a_orig!A3</f>
        <v>Dgn</v>
      </c>
      <c r="E3">
        <f>I1a_orig!B3</f>
        <v>-5.6755812572368752E-2</v>
      </c>
      <c r="G3" s="1">
        <f t="shared" ref="G3:G42" si="0">B3-E3</f>
        <v>-8.3266726846886741E-17</v>
      </c>
    </row>
    <row r="4" spans="1:7" x14ac:dyDescent="0.2">
      <c r="A4" t="str">
        <f>I1a!A4</f>
        <v>demAge</v>
      </c>
      <c r="B4">
        <f>I1a!B4</f>
        <v>-1.4317051818452494E-2</v>
      </c>
      <c r="D4" t="str">
        <f>I1a_orig!A4</f>
        <v>Dag</v>
      </c>
      <c r="E4">
        <f>I1a_orig!B4</f>
        <v>-1.4317051818452607E-2</v>
      </c>
      <c r="G4" s="1">
        <f t="shared" si="0"/>
        <v>1.1275702593849246E-16</v>
      </c>
    </row>
    <row r="5" spans="1:7" x14ac:dyDescent="0.2">
      <c r="A5" t="str">
        <f>I1a!A5</f>
        <v>demAgeSq</v>
      </c>
      <c r="B5">
        <f>I1a!B5</f>
        <v>2.3304200748031195E-4</v>
      </c>
      <c r="D5" t="str">
        <f>I1a_orig!A5</f>
        <v>Dag_sq</v>
      </c>
      <c r="E5">
        <f>I1a_orig!B5</f>
        <v>2.3304200748031279E-4</v>
      </c>
      <c r="G5" s="1">
        <f t="shared" si="0"/>
        <v>-8.4025668367626594E-19</v>
      </c>
    </row>
    <row r="6" spans="1:7" x14ac:dyDescent="0.2">
      <c r="A6" t="str">
        <f>I1a!A6</f>
        <v>healthPhysicalPcsL1</v>
      </c>
      <c r="B6">
        <f>I1a!B6</f>
        <v>1.26318043573774E-2</v>
      </c>
      <c r="D6" t="str">
        <f>I1a_orig!A6</f>
        <v>Dhe_pcs_L1</v>
      </c>
      <c r="E6">
        <f>I1a_orig!B6</f>
        <v>1.2631804357377357E-2</v>
      </c>
      <c r="G6" s="1">
        <f t="shared" si="0"/>
        <v>4.3368086899420177E-17</v>
      </c>
    </row>
    <row r="7" spans="1:7" x14ac:dyDescent="0.2">
      <c r="A7" t="str">
        <f>I1a!A7</f>
        <v>healthMentalMcsL1</v>
      </c>
      <c r="B7">
        <f>I1a!B7</f>
        <v>5.2351586427072704E-3</v>
      </c>
      <c r="D7" t="str">
        <f>I1a_orig!A7</f>
        <v>Dhe_mcs_L1</v>
      </c>
      <c r="E7">
        <f>I1a_orig!B7</f>
        <v>5.2351586427072053E-3</v>
      </c>
      <c r="G7" s="1">
        <f t="shared" si="0"/>
        <v>6.5052130349130266E-17</v>
      </c>
    </row>
    <row r="8" spans="1:7" x14ac:dyDescent="0.2">
      <c r="A8" t="str">
        <f>I1a!A8</f>
        <v>yCapitalPersMonthL1</v>
      </c>
      <c r="B8">
        <f>I1a!B8</f>
        <v>0.35965781029590488</v>
      </c>
      <c r="D8" t="str">
        <f>I1a_orig!A8</f>
        <v>Ypncp_L1</v>
      </c>
      <c r="E8">
        <f>I1a_orig!B8</f>
        <v>0.35965781029590482</v>
      </c>
      <c r="G8" s="1">
        <f t="shared" si="0"/>
        <v>0</v>
      </c>
    </row>
    <row r="9" spans="1:7" x14ac:dyDescent="0.2">
      <c r="A9" t="str">
        <f>I1a!A9</f>
        <v>yEmpPersGrossMonthL1</v>
      </c>
      <c r="B9">
        <f>I1a!B9</f>
        <v>7.0213024123215478E-2</v>
      </c>
      <c r="D9" t="str">
        <f>I1a_orig!A9</f>
        <v>Yplgrs_dv_L1</v>
      </c>
      <c r="E9">
        <f>I1a_orig!B9</f>
        <v>7.0213024123213855E-2</v>
      </c>
      <c r="G9" s="1">
        <f t="shared" si="0"/>
        <v>1.6237011735142914E-15</v>
      </c>
    </row>
    <row r="10" spans="1:7" x14ac:dyDescent="0.2">
      <c r="A10" t="str">
        <f>I1a!A10</f>
        <v>yEmpPersGrossMonthL2</v>
      </c>
      <c r="B10">
        <f>I1a!B10</f>
        <v>2.8579125248822411E-2</v>
      </c>
      <c r="D10" t="str">
        <f>I1a_orig!A10</f>
        <v>Yplgrs_dv_L2</v>
      </c>
      <c r="E10">
        <f>I1a_orig!B10</f>
        <v>2.8579125248822432E-2</v>
      </c>
      <c r="G10" s="1">
        <f t="shared" si="0"/>
        <v>0</v>
      </c>
    </row>
    <row r="11" spans="1:7" x14ac:dyDescent="0.2">
      <c r="A11" t="str">
        <f>I1a!A11</f>
        <v>yCapitalPersMonthL2</v>
      </c>
      <c r="B11">
        <f>I1a!B11</f>
        <v>0.24175926423187613</v>
      </c>
      <c r="D11" t="str">
        <f>I1a_orig!A11</f>
        <v>Ypncp_L2</v>
      </c>
      <c r="E11">
        <f>I1a_orig!B11</f>
        <v>0.24175926423187613</v>
      </c>
      <c r="G11" s="1">
        <f t="shared" si="0"/>
        <v>0</v>
      </c>
    </row>
    <row r="12" spans="1:7" x14ac:dyDescent="0.2">
      <c r="A12" t="str">
        <f>I1a!A12</f>
        <v>eduSampleFlag_Male</v>
      </c>
      <c r="B12">
        <f>I1a!B12</f>
        <v>0.15881230542051358</v>
      </c>
      <c r="D12" t="str">
        <f>I1a_orig!A12</f>
        <v>Ded_Dgn</v>
      </c>
      <c r="E12">
        <f>I1a_orig!B12</f>
        <v>0.15881230542051375</v>
      </c>
      <c r="G12" s="1">
        <f t="shared" si="0"/>
        <v>0</v>
      </c>
    </row>
    <row r="13" spans="1:7" x14ac:dyDescent="0.2">
      <c r="A13" t="str">
        <f>I1a!A13</f>
        <v>eduSampleFlag_PcsL1</v>
      </c>
      <c r="B13">
        <f>I1a!B13</f>
        <v>6.0994170720566699E-3</v>
      </c>
      <c r="D13" t="str">
        <f>I1a_orig!A13</f>
        <v>Ded_Dhe_pcs_L1</v>
      </c>
      <c r="E13">
        <f>I1a_orig!B13</f>
        <v>6.0994170720566412E-3</v>
      </c>
      <c r="G13" s="1">
        <f t="shared" si="0"/>
        <v>2.8622937353617317E-17</v>
      </c>
    </row>
    <row r="14" spans="1:7" x14ac:dyDescent="0.2">
      <c r="A14" t="str">
        <f>I1a!A14</f>
        <v>eduSampleFlag_McsL1</v>
      </c>
      <c r="B14">
        <f>I1a!B14</f>
        <v>-1.1103035167805659E-2</v>
      </c>
      <c r="D14" t="str">
        <f>I1a_orig!A14</f>
        <v>Ded_Dhe_mcs_L1</v>
      </c>
      <c r="E14">
        <f>I1a_orig!B14</f>
        <v>-1.1103035167805629E-2</v>
      </c>
      <c r="G14" s="1">
        <f t="shared" si="0"/>
        <v>-2.9490299091605721E-17</v>
      </c>
    </row>
    <row r="15" spans="1:7" x14ac:dyDescent="0.2">
      <c r="A15" t="str">
        <f>I1a!A15</f>
        <v>eduSampleFlag_yCapitalPersL1</v>
      </c>
      <c r="B15">
        <f>I1a!B15</f>
        <v>-7.3464365219762698E-2</v>
      </c>
      <c r="D15" t="str">
        <f>I1a_orig!A15</f>
        <v>Ded_Ypncp_L1</v>
      </c>
      <c r="E15">
        <f>I1a_orig!B15</f>
        <v>-7.3464365219762531E-2</v>
      </c>
      <c r="G15" s="1">
        <f t="shared" si="0"/>
        <v>-1.6653345369377348E-16</v>
      </c>
    </row>
    <row r="16" spans="1:7" x14ac:dyDescent="0.2">
      <c r="A16" t="str">
        <f>I1a!A16</f>
        <v>eduSampleFlag_yCapitalPersL2</v>
      </c>
      <c r="B16">
        <f>I1a!B16</f>
        <v>-9.6444773153988611E-2</v>
      </c>
      <c r="D16" t="str">
        <f>I1a_orig!A16</f>
        <v>Ded_Ypncp_L2</v>
      </c>
      <c r="E16">
        <f>I1a_orig!B16</f>
        <v>-9.6444773153988708E-2</v>
      </c>
      <c r="G16" s="1">
        <f t="shared" si="0"/>
        <v>0</v>
      </c>
    </row>
    <row r="17" spans="1:7" x14ac:dyDescent="0.2">
      <c r="A17" t="str">
        <f>I1a!A17</f>
        <v>eduHighestC4Low</v>
      </c>
      <c r="B17">
        <f>I1a!B17</f>
        <v>-0.72633264178472801</v>
      </c>
      <c r="D17" t="str">
        <f>I1a_orig!A17</f>
        <v>Deh_c4_Low</v>
      </c>
      <c r="E17">
        <f>I1a_orig!B17</f>
        <v>-0.72633264178472901</v>
      </c>
      <c r="G17" s="1">
        <f t="shared" si="0"/>
        <v>9.9920072216264089E-16</v>
      </c>
    </row>
    <row r="18" spans="1:7" x14ac:dyDescent="0.2">
      <c r="A18" t="str">
        <f>I1a!A18</f>
        <v>eduHighestC4Medium</v>
      </c>
      <c r="B18">
        <f>I1a!B18</f>
        <v>-0.33476942057896869</v>
      </c>
      <c r="D18" t="str">
        <f>I1a_orig!A18</f>
        <v>Deh_c4_Medium</v>
      </c>
      <c r="E18">
        <f>I1a_orig!B18</f>
        <v>-0.33476942057896969</v>
      </c>
      <c r="G18" s="1">
        <f t="shared" si="0"/>
        <v>9.9920072216264089E-16</v>
      </c>
    </row>
    <row r="19" spans="1:7" x14ac:dyDescent="0.2">
      <c r="A19" t="str">
        <f>I1a!A19</f>
        <v>labStatusC4StudentL1</v>
      </c>
      <c r="B19">
        <f>I1a!B19</f>
        <v>0.92773845653223264</v>
      </c>
      <c r="D19" t="str">
        <f>I1a_orig!A19</f>
        <v>Les_c4_Student_L1</v>
      </c>
      <c r="E19">
        <f>I1a_orig!B19</f>
        <v>0.92773845653221831</v>
      </c>
      <c r="G19" s="1">
        <f t="shared" si="0"/>
        <v>1.4321877017664519E-14</v>
      </c>
    </row>
    <row r="20" spans="1:7" x14ac:dyDescent="0.2">
      <c r="A20" t="str">
        <f>I1a!A20</f>
        <v>labStatusC4NotEmployedL1</v>
      </c>
      <c r="B20">
        <f>I1a!B20</f>
        <v>0.30747301937856852</v>
      </c>
      <c r="D20" t="str">
        <f>I1a_orig!A20</f>
        <v>Les_c4_NotEmployed_L1</v>
      </c>
      <c r="E20">
        <f>I1a_orig!B20</f>
        <v>0.30747301937855465</v>
      </c>
      <c r="G20" s="1">
        <f t="shared" si="0"/>
        <v>1.3877787807814457E-14</v>
      </c>
    </row>
    <row r="21" spans="1:7" x14ac:dyDescent="0.2">
      <c r="A21" t="str">
        <f>I1a!A21</f>
        <v>labStatusC4RetiredL1</v>
      </c>
      <c r="B21">
        <f>I1a!B21</f>
        <v>0.95559138178705993</v>
      </c>
      <c r="D21" t="str">
        <f>I1a_orig!A21</f>
        <v>Les_c4_Retired_L1</v>
      </c>
      <c r="E21">
        <f>I1a_orig!B21</f>
        <v>0.95559138178704717</v>
      </c>
      <c r="G21" s="1">
        <f t="shared" si="0"/>
        <v>1.27675647831893E-14</v>
      </c>
    </row>
    <row r="22" spans="1:7" x14ac:dyDescent="0.2">
      <c r="A22" t="str">
        <f>I1a!A22</f>
        <v>demCompHhC4CoupleChL1</v>
      </c>
      <c r="B22">
        <f>I1a!B22</f>
        <v>-0.30535494861205964</v>
      </c>
      <c r="D22" t="str">
        <f>I1a_orig!A22</f>
        <v>Dhhtp_c4_CoupleChildren_L1</v>
      </c>
      <c r="E22">
        <f>I1a_orig!B22</f>
        <v>-0.30535494861206036</v>
      </c>
      <c r="G22" s="1">
        <f t="shared" si="0"/>
        <v>7.2164496600635175E-16</v>
      </c>
    </row>
    <row r="23" spans="1:7" x14ac:dyDescent="0.2">
      <c r="A23" t="str">
        <f>I1a!A23</f>
        <v>demCompHhC4SingleNoChL1</v>
      </c>
      <c r="B23">
        <f>I1a!B23</f>
        <v>-0.13030437425946395</v>
      </c>
      <c r="D23" t="str">
        <f>I1a_orig!A23</f>
        <v>Dhhtp_c4_SingleNoChildren_L1</v>
      </c>
      <c r="E23">
        <f>I1a_orig!B23</f>
        <v>-0.13030437425946467</v>
      </c>
      <c r="G23" s="1">
        <f t="shared" si="0"/>
        <v>7.2164496600635175E-16</v>
      </c>
    </row>
    <row r="24" spans="1:7" x14ac:dyDescent="0.2">
      <c r="A24" t="str">
        <f>I1a!A24</f>
        <v>demCompHhC4SingleChL1</v>
      </c>
      <c r="B24">
        <f>I1a!B24</f>
        <v>-0.3968253169522668</v>
      </c>
      <c r="D24" t="str">
        <f>I1a_orig!A24</f>
        <v>Dhhtp_c4_SingleChildren_L1</v>
      </c>
      <c r="E24">
        <f>I1a_orig!B24</f>
        <v>-0.39682531695226808</v>
      </c>
      <c r="G24" s="1">
        <f t="shared" si="0"/>
        <v>1.27675647831893E-15</v>
      </c>
    </row>
    <row r="25" spans="1:7" x14ac:dyDescent="0.2">
      <c r="A25" t="str">
        <f>I1a!A25</f>
        <v>demRgnUKC</v>
      </c>
      <c r="B25">
        <f>I1a!B25</f>
        <v>-0.17402419346224357</v>
      </c>
      <c r="D25" t="str">
        <f>I1a_orig!A25</f>
        <v>demRgnUKC</v>
      </c>
      <c r="E25">
        <f>I1a_orig!B25</f>
        <v>-0.17402419346224465</v>
      </c>
      <c r="G25" s="1">
        <f t="shared" si="0"/>
        <v>1.0824674490095276E-15</v>
      </c>
    </row>
    <row r="26" spans="1:7" x14ac:dyDescent="0.2">
      <c r="A26" t="str">
        <f>I1a!A26</f>
        <v>demRgnUKD</v>
      </c>
      <c r="B26">
        <f>I1a!B26</f>
        <v>-0.12128350374323024</v>
      </c>
      <c r="D26" t="str">
        <f>I1a_orig!A26</f>
        <v>demRgnUKD</v>
      </c>
      <c r="E26">
        <f>I1a_orig!B26</f>
        <v>-0.12128350374323137</v>
      </c>
      <c r="G26" s="1">
        <f t="shared" si="0"/>
        <v>1.124100812432971E-15</v>
      </c>
    </row>
    <row r="27" spans="1:7" x14ac:dyDescent="0.2">
      <c r="A27" t="str">
        <f>I1a!A27</f>
        <v>demRgnUKE</v>
      </c>
      <c r="B27">
        <f>I1a!B27</f>
        <v>-3.4357756851293171E-2</v>
      </c>
      <c r="D27" t="str">
        <f>I1a_orig!A27</f>
        <v>demRgnUKE</v>
      </c>
      <c r="E27">
        <f>I1a_orig!B27</f>
        <v>-3.4357756851294219E-2</v>
      </c>
      <c r="G27" s="1">
        <f t="shared" si="0"/>
        <v>1.0477729794899915E-15</v>
      </c>
    </row>
    <row r="28" spans="1:7" x14ac:dyDescent="0.2">
      <c r="A28" t="str">
        <f>I1a!A28</f>
        <v>demRgnUKF</v>
      </c>
      <c r="B28">
        <f>I1a!B28</f>
        <v>9.4813364242089179E-2</v>
      </c>
      <c r="D28" t="str">
        <f>I1a_orig!A28</f>
        <v>demRgnUKF</v>
      </c>
      <c r="E28">
        <f>I1a_orig!B28</f>
        <v>9.4813364242088222E-2</v>
      </c>
      <c r="G28" s="1">
        <f t="shared" si="0"/>
        <v>9.5756735873919752E-16</v>
      </c>
    </row>
    <row r="29" spans="1:7" x14ac:dyDescent="0.2">
      <c r="A29" t="str">
        <f>I1a!A29</f>
        <v>demRgnUKG</v>
      </c>
      <c r="B29">
        <f>I1a!B29</f>
        <v>6.6533643633440595E-2</v>
      </c>
      <c r="D29" t="str">
        <f>I1a_orig!A29</f>
        <v>demRgnUKG</v>
      </c>
      <c r="E29">
        <f>I1a_orig!B29</f>
        <v>6.6533643633439624E-2</v>
      </c>
      <c r="G29" s="1">
        <f t="shared" si="0"/>
        <v>9.7144514654701197E-16</v>
      </c>
    </row>
    <row r="30" spans="1:7" x14ac:dyDescent="0.2">
      <c r="A30" t="str">
        <f>I1a!A30</f>
        <v>demRgnUKH</v>
      </c>
      <c r="B30">
        <f>I1a!B30</f>
        <v>0.12162850563587969</v>
      </c>
      <c r="D30" t="str">
        <f>I1a_orig!A30</f>
        <v>demRgnUKH</v>
      </c>
      <c r="E30">
        <f>I1a_orig!B30</f>
        <v>0.12162850563587872</v>
      </c>
      <c r="G30" s="1">
        <f t="shared" si="0"/>
        <v>9.7144514654701197E-16</v>
      </c>
    </row>
    <row r="31" spans="1:7" x14ac:dyDescent="0.2">
      <c r="A31" t="str">
        <f>I1a!A31</f>
        <v>demRgnUKJ</v>
      </c>
      <c r="B31">
        <f>I1a!B31</f>
        <v>0.14850303172956056</v>
      </c>
      <c r="D31" t="str">
        <f>I1a_orig!A31</f>
        <v>demRgnUKJ</v>
      </c>
      <c r="E31">
        <f>I1a_orig!B31</f>
        <v>0.14850303172955959</v>
      </c>
      <c r="G31" s="1">
        <f t="shared" si="0"/>
        <v>9.7144514654701197E-16</v>
      </c>
    </row>
    <row r="32" spans="1:7" x14ac:dyDescent="0.2">
      <c r="A32" t="str">
        <f>I1a!A32</f>
        <v>demRgnUKK</v>
      </c>
      <c r="B32">
        <f>I1a!B32</f>
        <v>0.1137042676055998</v>
      </c>
      <c r="D32" t="str">
        <f>I1a_orig!A32</f>
        <v>demRgnUKK</v>
      </c>
      <c r="E32">
        <f>I1a_orig!B32</f>
        <v>0.11370426760559864</v>
      </c>
      <c r="G32" s="1">
        <f t="shared" si="0"/>
        <v>1.1657341758564144E-15</v>
      </c>
    </row>
    <row r="33" spans="1:7" x14ac:dyDescent="0.2">
      <c r="A33" t="str">
        <f>I1a!A33</f>
        <v>demRgnUKL</v>
      </c>
      <c r="B33">
        <f>I1a!B33</f>
        <v>-0.18926674454548564</v>
      </c>
      <c r="D33" t="str">
        <f>I1a_orig!A33</f>
        <v>demRgnUKL</v>
      </c>
      <c r="E33">
        <f>I1a_orig!B33</f>
        <v>-0.18926674454548678</v>
      </c>
      <c r="G33" s="1">
        <f t="shared" si="0"/>
        <v>1.1379786002407855E-15</v>
      </c>
    </row>
    <row r="34" spans="1:7" x14ac:dyDescent="0.2">
      <c r="A34" t="str">
        <f>I1a!A34</f>
        <v>demRgnUKM</v>
      </c>
      <c r="B34">
        <f>I1a!B34</f>
        <v>-0.21975640116868048</v>
      </c>
      <c r="D34" t="str">
        <f>I1a_orig!A34</f>
        <v>demRgnUKM</v>
      </c>
      <c r="E34">
        <f>I1a_orig!B34</f>
        <v>-0.21975640116868142</v>
      </c>
      <c r="G34" s="1">
        <f t="shared" si="0"/>
        <v>9.4368957093138306E-16</v>
      </c>
    </row>
    <row r="35" spans="1:7" x14ac:dyDescent="0.2">
      <c r="A35" t="str">
        <f>I1a!A35</f>
        <v>demRgnUKN</v>
      </c>
      <c r="B35">
        <f>I1a!B35</f>
        <v>-0.37168744852271351</v>
      </c>
      <c r="D35" t="str">
        <f>I1a_orig!A35</f>
        <v>demRgnUKN</v>
      </c>
      <c r="E35">
        <f>I1a_orig!B35</f>
        <v>-0.37168744852271457</v>
      </c>
      <c r="G35" s="1">
        <f t="shared" si="0"/>
        <v>1.0547118733938987E-15</v>
      </c>
    </row>
    <row r="36" spans="1:7" x14ac:dyDescent="0.2">
      <c r="A36" t="str">
        <f>I1a!A36</f>
        <v>demYearTransformed</v>
      </c>
      <c r="B36">
        <f>I1a!B36</f>
        <v>-1.8185084912666741E-2</v>
      </c>
      <c r="D36" t="str">
        <f>I1a_orig!A36</f>
        <v>Year_transformed</v>
      </c>
      <c r="E36">
        <f>I1a_orig!B36</f>
        <v>-1.8185084912667068E-2</v>
      </c>
      <c r="G36" s="1">
        <f t="shared" si="0"/>
        <v>3.2612801348363973E-16</v>
      </c>
    </row>
    <row r="37" spans="1:7" x14ac:dyDescent="0.2">
      <c r="A37" t="str">
        <f>I1a!A37</f>
        <v>demYear2020</v>
      </c>
      <c r="B37">
        <f>I1a!B37</f>
        <v>-0.15103784840364273</v>
      </c>
      <c r="D37" t="str">
        <f>I1a_orig!A37</f>
        <v>Y2020</v>
      </c>
      <c r="E37">
        <f>I1a_orig!B37</f>
        <v>-0.15103784840364209</v>
      </c>
      <c r="G37" s="1">
        <f t="shared" si="0"/>
        <v>-6.3837823915946501E-16</v>
      </c>
    </row>
    <row r="38" spans="1:7" x14ac:dyDescent="0.2">
      <c r="A38" t="str">
        <f>I1a!A38</f>
        <v>demYear2021</v>
      </c>
      <c r="B38">
        <f>I1a!B38</f>
        <v>-0.23493816018496164</v>
      </c>
      <c r="D38" t="str">
        <f>I1a_orig!A38</f>
        <v>Y2021</v>
      </c>
      <c r="E38">
        <f>I1a_orig!B38</f>
        <v>-0.23493816018496078</v>
      </c>
      <c r="G38" s="1">
        <f t="shared" si="0"/>
        <v>-8.6042284408449632E-16</v>
      </c>
    </row>
    <row r="39" spans="1:7" x14ac:dyDescent="0.2">
      <c r="A39" t="str">
        <f>I1a!A39</f>
        <v>demEthnC4Asian</v>
      </c>
      <c r="B39">
        <f>I1a!B39</f>
        <v>-0.44577919716529241</v>
      </c>
      <c r="D39" t="str">
        <f>I1a_orig!A39</f>
        <v>demEthnC4Asian</v>
      </c>
      <c r="E39">
        <f>I1a_orig!B39</f>
        <v>-0.44577919716529268</v>
      </c>
      <c r="G39" s="1">
        <f t="shared" si="0"/>
        <v>0</v>
      </c>
    </row>
    <row r="40" spans="1:7" x14ac:dyDescent="0.2">
      <c r="A40" t="str">
        <f>I1a!A40</f>
        <v>demEthnC4Black</v>
      </c>
      <c r="B40">
        <f>I1a!B40</f>
        <v>-0.589606234063067</v>
      </c>
      <c r="D40" t="str">
        <f>I1a_orig!A40</f>
        <v>demEthnC4Black</v>
      </c>
      <c r="E40">
        <f>I1a_orig!B40</f>
        <v>-0.58960623406306745</v>
      </c>
      <c r="G40" s="1">
        <f t="shared" si="0"/>
        <v>0</v>
      </c>
    </row>
    <row r="41" spans="1:7" x14ac:dyDescent="0.2">
      <c r="A41" t="str">
        <f>I1a!A41</f>
        <v>demEthnC4Other</v>
      </c>
      <c r="B41">
        <f>I1a!B41</f>
        <v>-0.31032161992374357</v>
      </c>
      <c r="D41" t="str">
        <f>I1a_orig!A41</f>
        <v>demEthnC4Other</v>
      </c>
      <c r="E41">
        <f>I1a_orig!B41</f>
        <v>-0.31032161992374385</v>
      </c>
      <c r="G41" s="1">
        <f t="shared" si="0"/>
        <v>0</v>
      </c>
    </row>
    <row r="42" spans="1:7" x14ac:dyDescent="0.2">
      <c r="A42" t="str">
        <f>I1a!A42</f>
        <v>Constant</v>
      </c>
      <c r="B42">
        <f>I1a!B42</f>
        <v>-2.0859754417933782</v>
      </c>
      <c r="D42" t="str">
        <f>I1a_orig!A42</f>
        <v>Constant</v>
      </c>
      <c r="E42">
        <f>I1a_orig!B42</f>
        <v>-2.0859754417933485</v>
      </c>
      <c r="G42" s="1">
        <f t="shared" si="0"/>
        <v>-2.9753977059954195E-14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G42"/>
  <sheetViews>
    <sheetView topLeftCell="A16" workbookViewId="0">
      <selection activeCell="G1" sqref="G1:G1048576"/>
    </sheetView>
  </sheetViews>
  <sheetFormatPr baseColWidth="10" defaultColWidth="8.83203125" defaultRowHeight="15" x14ac:dyDescent="0.2"/>
  <cols>
    <col min="1" max="1" width="33" customWidth="1"/>
    <col min="4" max="4" width="24.5" customWidth="1"/>
  </cols>
  <sheetData>
    <row r="1" spans="1:7" x14ac:dyDescent="0.2">
      <c r="A1" t="str">
        <f>I1b!A1</f>
        <v>REGRESSOR</v>
      </c>
      <c r="B1" t="str">
        <f>I1b!B1</f>
        <v>COEFFICIENT</v>
      </c>
      <c r="D1" t="str">
        <f>I1b_orig!A1</f>
        <v>REGRESSOR</v>
      </c>
      <c r="E1" t="str">
        <f>I1b_orig!B1</f>
        <v>COEFFICIENT</v>
      </c>
      <c r="G1" t="s">
        <v>108</v>
      </c>
    </row>
    <row r="2" spans="1:7" x14ac:dyDescent="0.2">
      <c r="A2" t="str">
        <f>I1b!A2</f>
        <v>demMaleFlag</v>
      </c>
      <c r="B2">
        <f>I1b!B2</f>
        <v>0.16808437763633258</v>
      </c>
      <c r="D2" t="str">
        <f>I1b_orig!A2</f>
        <v>Dgn</v>
      </c>
      <c r="E2">
        <f>I1b_orig!B2</f>
        <v>0.16808437763634543</v>
      </c>
      <c r="G2" s="1">
        <f>B2-E2</f>
        <v>-1.2850831510036187E-14</v>
      </c>
    </row>
    <row r="3" spans="1:7" x14ac:dyDescent="0.2">
      <c r="A3" t="str">
        <f>I1b!A3</f>
        <v>demAge</v>
      </c>
      <c r="B3">
        <f>I1b!B3</f>
        <v>3.5590132628407288E-2</v>
      </c>
      <c r="D3" t="str">
        <f>I1b_orig!A3</f>
        <v>Dag</v>
      </c>
      <c r="E3">
        <f>I1b_orig!B3</f>
        <v>3.5590132628412305E-2</v>
      </c>
      <c r="G3" s="1">
        <f t="shared" ref="G3:G40" si="0">B3-E3</f>
        <v>-5.0168202925249261E-15</v>
      </c>
    </row>
    <row r="4" spans="1:7" x14ac:dyDescent="0.2">
      <c r="A4" t="str">
        <f>I1b!A4</f>
        <v>demAgeSq</v>
      </c>
      <c r="B4">
        <f>I1b!B4</f>
        <v>-2.9079990169129211E-4</v>
      </c>
      <c r="D4" t="str">
        <f>I1b_orig!A4</f>
        <v>Dag_sq</v>
      </c>
      <c r="E4">
        <f>I1b_orig!B4</f>
        <v>-2.9079990169133109E-4</v>
      </c>
      <c r="G4" s="1">
        <f t="shared" si="0"/>
        <v>3.8977068100853884E-17</v>
      </c>
    </row>
    <row r="5" spans="1:7" x14ac:dyDescent="0.2">
      <c r="A5" t="str">
        <f>I1b!A5</f>
        <v>eduHighestC4Low</v>
      </c>
      <c r="B5">
        <f>I1b!B5</f>
        <v>-0.70895008598277809</v>
      </c>
      <c r="D5" t="str">
        <f>I1b_orig!A5</f>
        <v>Deh_c4_Low</v>
      </c>
      <c r="E5">
        <f>I1b_orig!B5</f>
        <v>-0.70895008598270237</v>
      </c>
      <c r="G5" s="1">
        <f t="shared" si="0"/>
        <v>-7.5717210279435676E-14</v>
      </c>
    </row>
    <row r="6" spans="1:7" x14ac:dyDescent="0.2">
      <c r="A6" t="str">
        <f>I1b!A6</f>
        <v>eduHighestC4Medium</v>
      </c>
      <c r="B6">
        <f>I1b!B6</f>
        <v>-0.60464798146696752</v>
      </c>
      <c r="D6" t="str">
        <f>I1b_orig!A6</f>
        <v>Deh_c4_Medium</v>
      </c>
      <c r="E6">
        <f>I1b_orig!B6</f>
        <v>-0.60464798146691678</v>
      </c>
      <c r="G6" s="1">
        <f t="shared" si="0"/>
        <v>-5.0737192225369654E-14</v>
      </c>
    </row>
    <row r="7" spans="1:7" x14ac:dyDescent="0.2">
      <c r="A7" t="str">
        <f>I1b!A7</f>
        <v>eduHighestC4High</v>
      </c>
      <c r="B7">
        <f>I1b!B7</f>
        <v>-0.62013451568757971</v>
      </c>
      <c r="D7" t="str">
        <f>I1b_orig!A7</f>
        <v>Deh_c4_High</v>
      </c>
      <c r="E7">
        <f>I1b_orig!B7</f>
        <v>-0.62013451568751798</v>
      </c>
      <c r="G7" s="1">
        <f t="shared" si="0"/>
        <v>-6.1728400169158704E-14</v>
      </c>
    </row>
    <row r="8" spans="1:7" x14ac:dyDescent="0.2">
      <c r="A8" t="str">
        <f>I1b!A8</f>
        <v>labStatusC4StudentL1</v>
      </c>
      <c r="B8">
        <f>I1b!B8</f>
        <v>0.27701096840113515</v>
      </c>
      <c r="D8" t="str">
        <f>I1b_orig!A8</f>
        <v>Les_c4_Student_L1</v>
      </c>
      <c r="E8">
        <f>I1b_orig!B8</f>
        <v>0.27701096840083628</v>
      </c>
      <c r="G8" s="1">
        <f t="shared" si="0"/>
        <v>2.9887203822909214E-13</v>
      </c>
    </row>
    <row r="9" spans="1:7" x14ac:dyDescent="0.2">
      <c r="A9" t="str">
        <f>I1b!A9</f>
        <v>labStatusC4NotEmployedL1</v>
      </c>
      <c r="B9">
        <f>I1b!B9</f>
        <v>-0.13083018080191081</v>
      </c>
      <c r="D9" t="str">
        <f>I1b_orig!A9</f>
        <v>Les_c4_NotEmployed_L1</v>
      </c>
      <c r="E9">
        <f>I1b_orig!B9</f>
        <v>-0.13083018080229078</v>
      </c>
      <c r="G9" s="1">
        <f t="shared" si="0"/>
        <v>3.7997383017795983E-13</v>
      </c>
    </row>
    <row r="10" spans="1:7" x14ac:dyDescent="0.2">
      <c r="A10" t="str">
        <f>I1b!A10</f>
        <v>labStatusC4RetiredL1</v>
      </c>
      <c r="B10">
        <f>I1b!B10</f>
        <v>-0.22059529087472032</v>
      </c>
      <c r="D10" t="str">
        <f>I1b_orig!A10</f>
        <v>Les_c4_Retired_L1</v>
      </c>
      <c r="E10">
        <f>I1b_orig!B10</f>
        <v>-0.220595290875129</v>
      </c>
      <c r="G10" s="1">
        <f t="shared" si="0"/>
        <v>4.0867309536452012E-13</v>
      </c>
    </row>
    <row r="11" spans="1:7" x14ac:dyDescent="0.2">
      <c r="A11" t="str">
        <f>I1b!A11</f>
        <v>demCompHhC4CoupleChL1</v>
      </c>
      <c r="B11">
        <f>I1b!B11</f>
        <v>-6.5898542576041358E-2</v>
      </c>
      <c r="D11" t="str">
        <f>I1b_orig!A11</f>
        <v>Dhhtp_c4_CoupleChildren_L1</v>
      </c>
      <c r="E11">
        <f>I1b_orig!B11</f>
        <v>-6.5898542576045605E-2</v>
      </c>
      <c r="G11" s="1">
        <f t="shared" si="0"/>
        <v>4.2466030691912238E-15</v>
      </c>
    </row>
    <row r="12" spans="1:7" x14ac:dyDescent="0.2">
      <c r="A12" t="str">
        <f>I1b!A12</f>
        <v>demCompHhC4SingleNoChL1</v>
      </c>
      <c r="B12">
        <f>I1b!B12</f>
        <v>-1.9230615601548033E-2</v>
      </c>
      <c r="D12" t="str">
        <f>I1b_orig!A12</f>
        <v>Dhhtp_c4_SingleNoChildren_L1</v>
      </c>
      <c r="E12">
        <f>I1b_orig!B12</f>
        <v>-1.9230615601540504E-2</v>
      </c>
      <c r="G12" s="1">
        <f t="shared" si="0"/>
        <v>-7.5286998857393428E-15</v>
      </c>
    </row>
    <row r="13" spans="1:7" x14ac:dyDescent="0.2">
      <c r="A13" t="str">
        <f>I1b!A13</f>
        <v>demCompHhC4SingleChL1</v>
      </c>
      <c r="B13">
        <f>I1b!B13</f>
        <v>0.73099038445991438</v>
      </c>
      <c r="D13" t="str">
        <f>I1b_orig!A13</f>
        <v>Dhhtp_c4_SingleChildren_L1</v>
      </c>
      <c r="E13">
        <f>I1b_orig!B13</f>
        <v>0.73099038445991626</v>
      </c>
      <c r="G13" s="1">
        <f t="shared" si="0"/>
        <v>-1.8873791418627661E-15</v>
      </c>
    </row>
    <row r="14" spans="1:7" x14ac:dyDescent="0.2">
      <c r="A14" t="str">
        <f>I1b!A14</f>
        <v>healthPhysicalPcsL1</v>
      </c>
      <c r="B14">
        <f>I1b!B14</f>
        <v>2.4061189597683898E-3</v>
      </c>
      <c r="D14" t="str">
        <f>I1b_orig!A14</f>
        <v>Dhe_pcs_L1</v>
      </c>
      <c r="E14">
        <f>I1b_orig!B14</f>
        <v>2.4061189597685308E-3</v>
      </c>
      <c r="G14" s="1">
        <f t="shared" si="0"/>
        <v>-1.4094628242311558E-16</v>
      </c>
    </row>
    <row r="15" spans="1:7" x14ac:dyDescent="0.2">
      <c r="A15" t="str">
        <f>I1b!A15</f>
        <v>healthMentalMcsL1</v>
      </c>
      <c r="B15">
        <f>I1b!B15</f>
        <v>-5.4951444714434398E-4</v>
      </c>
      <c r="D15" t="str">
        <f>I1b_orig!A15</f>
        <v>Dhe_mcs_L1</v>
      </c>
      <c r="E15">
        <f>I1b_orig!B15</f>
        <v>-5.4951444714429628E-4</v>
      </c>
      <c r="G15" s="1">
        <f t="shared" si="0"/>
        <v>-4.7704895589362195E-17</v>
      </c>
    </row>
    <row r="16" spans="1:7" x14ac:dyDescent="0.2">
      <c r="A16" t="str">
        <f>I1b!A16</f>
        <v>yCapitalPersMonthL1</v>
      </c>
      <c r="B16">
        <f>I1b!B16</f>
        <v>0.32101940541753976</v>
      </c>
      <c r="D16" t="str">
        <f>I1b_orig!A16</f>
        <v>Ypncp_L1</v>
      </c>
      <c r="E16">
        <f>I1b_orig!B16</f>
        <v>0.32101940541753954</v>
      </c>
      <c r="G16" s="1">
        <f t="shared" si="0"/>
        <v>0</v>
      </c>
    </row>
    <row r="17" spans="1:7" x14ac:dyDescent="0.2">
      <c r="A17" t="str">
        <f>I1b!A17</f>
        <v>yCapitalPersMonthL2</v>
      </c>
      <c r="B17">
        <f>I1b!B17</f>
        <v>0.18199430815223872</v>
      </c>
      <c r="D17" t="str">
        <f>I1b_orig!A17</f>
        <v>Ypncp_L2</v>
      </c>
      <c r="E17">
        <f>I1b_orig!B17</f>
        <v>0.18199430815223844</v>
      </c>
      <c r="G17" s="1">
        <f t="shared" si="0"/>
        <v>2.7755575615628914E-16</v>
      </c>
    </row>
    <row r="18" spans="1:7" x14ac:dyDescent="0.2">
      <c r="A18" t="str">
        <f>I1b!A18</f>
        <v>yEmpPersGrossMonthL1</v>
      </c>
      <c r="B18">
        <f>I1b!B18</f>
        <v>-3.8694412805732326E-2</v>
      </c>
      <c r="D18" t="str">
        <f>I1b_orig!A18</f>
        <v>Yplgrs_dv_L1</v>
      </c>
      <c r="E18">
        <f>I1b_orig!B18</f>
        <v>-3.8694412805777539E-2</v>
      </c>
      <c r="G18" s="1">
        <f t="shared" si="0"/>
        <v>4.52138326778595E-14</v>
      </c>
    </row>
    <row r="19" spans="1:7" x14ac:dyDescent="0.2">
      <c r="A19" t="str">
        <f>I1b!A19</f>
        <v>yEmpPersGrossMonthL2</v>
      </c>
      <c r="B19">
        <f>I1b!B19</f>
        <v>3.7080645074389477E-3</v>
      </c>
      <c r="D19" t="str">
        <f>I1b_orig!A19</f>
        <v>Yplgrs_dv_L2</v>
      </c>
      <c r="E19">
        <f>I1b_orig!B19</f>
        <v>3.7080645074375348E-3</v>
      </c>
      <c r="G19" s="1">
        <f t="shared" si="0"/>
        <v>1.4129322711831094E-15</v>
      </c>
    </row>
    <row r="20" spans="1:7" x14ac:dyDescent="0.2">
      <c r="A20" t="str">
        <f>I1b!A20</f>
        <v>eduSampleFlag_Male</v>
      </c>
      <c r="B20">
        <f>I1b!B20</f>
        <v>-0.36430315367417426</v>
      </c>
      <c r="D20" t="str">
        <f>I1b_orig!A20</f>
        <v>Ded_Dgn</v>
      </c>
      <c r="E20">
        <f>I1b_orig!B20</f>
        <v>-0.36430315367415605</v>
      </c>
      <c r="G20" s="1">
        <f t="shared" si="0"/>
        <v>-1.8207657603852567E-14</v>
      </c>
    </row>
    <row r="21" spans="1:7" x14ac:dyDescent="0.2">
      <c r="A21" t="str">
        <f>I1b!A21</f>
        <v>eduSampleFlag_yCapitalPersL1</v>
      </c>
      <c r="B21">
        <f>I1b!B21</f>
        <v>-1.1885336269899242E-2</v>
      </c>
      <c r="D21" t="str">
        <f>I1b_orig!A21</f>
        <v>Ded_Ypncp_L1</v>
      </c>
      <c r="E21">
        <f>I1b_orig!B21</f>
        <v>-1.188533626989751E-2</v>
      </c>
      <c r="G21" s="1">
        <f t="shared" si="0"/>
        <v>-1.7312540290248535E-15</v>
      </c>
    </row>
    <row r="22" spans="1:7" x14ac:dyDescent="0.2">
      <c r="A22" t="str">
        <f>I1b!A22</f>
        <v>eduSampleFlag_yCapitalPersL2</v>
      </c>
      <c r="B22">
        <f>I1b!B22</f>
        <v>-7.7489399593052344E-2</v>
      </c>
      <c r="D22" t="str">
        <f>I1b_orig!A22</f>
        <v>Ded_Ypncp_L2</v>
      </c>
      <c r="E22">
        <f>I1b_orig!B22</f>
        <v>-7.7489399593054134E-2</v>
      </c>
      <c r="G22" s="1">
        <f t="shared" si="0"/>
        <v>1.7902346272080649E-15</v>
      </c>
    </row>
    <row r="23" spans="1:7" x14ac:dyDescent="0.2">
      <c r="A23" t="str">
        <f>I1b!A23</f>
        <v>demRgnUKC</v>
      </c>
      <c r="B23">
        <f>I1b!B23</f>
        <v>-0.19208505236403228</v>
      </c>
      <c r="D23" t="str">
        <f>I1b_orig!A23</f>
        <v>demRgnUKC</v>
      </c>
      <c r="E23">
        <f>I1b_orig!B23</f>
        <v>-0.19208505236403786</v>
      </c>
      <c r="G23" s="1">
        <f t="shared" si="0"/>
        <v>5.5788706987414116E-15</v>
      </c>
    </row>
    <row r="24" spans="1:7" x14ac:dyDescent="0.2">
      <c r="A24" t="str">
        <f>I1b!A24</f>
        <v>demRgnUKD</v>
      </c>
      <c r="B24">
        <f>I1b!B24</f>
        <v>-4.4343158159616716E-2</v>
      </c>
      <c r="D24" t="str">
        <f>I1b_orig!A24</f>
        <v>demRgnUKD</v>
      </c>
      <c r="E24">
        <f>I1b_orig!B24</f>
        <v>-4.434315815962258E-2</v>
      </c>
      <c r="G24" s="1">
        <f t="shared" si="0"/>
        <v>5.863365348801608E-15</v>
      </c>
    </row>
    <row r="25" spans="1:7" x14ac:dyDescent="0.2">
      <c r="A25" t="str">
        <f>I1b!A25</f>
        <v>demRgnUKE</v>
      </c>
      <c r="B25">
        <f>I1b!B25</f>
        <v>-0.14135347141675061</v>
      </c>
      <c r="D25" t="str">
        <f>I1b_orig!A25</f>
        <v>demRgnUKE</v>
      </c>
      <c r="E25">
        <f>I1b_orig!B25</f>
        <v>-0.14135347141675744</v>
      </c>
      <c r="G25" s="1">
        <f t="shared" si="0"/>
        <v>6.8278716014447127E-15</v>
      </c>
    </row>
    <row r="26" spans="1:7" x14ac:dyDescent="0.2">
      <c r="A26" t="str">
        <f>I1b!A26</f>
        <v>demRgnUKF</v>
      </c>
      <c r="B26">
        <f>I1b!B26</f>
        <v>-0.16936194354377543</v>
      </c>
      <c r="D26" t="str">
        <f>I1b_orig!A26</f>
        <v>demRgnUKF</v>
      </c>
      <c r="E26">
        <f>I1b_orig!B26</f>
        <v>-0.16936194354378228</v>
      </c>
      <c r="G26" s="1">
        <f t="shared" si="0"/>
        <v>6.8556271770603416E-15</v>
      </c>
    </row>
    <row r="27" spans="1:7" x14ac:dyDescent="0.2">
      <c r="A27" t="str">
        <f>I1b!A27</f>
        <v>demRgnUKG</v>
      </c>
      <c r="B27">
        <f>I1b!B27</f>
        <v>-0.16020608076162199</v>
      </c>
      <c r="D27" t="str">
        <f>I1b_orig!A27</f>
        <v>demRgnUKG</v>
      </c>
      <c r="E27">
        <f>I1b_orig!B27</f>
        <v>-0.16020608076162859</v>
      </c>
      <c r="G27" s="1">
        <f t="shared" si="0"/>
        <v>6.6058269965196814E-15</v>
      </c>
    </row>
    <row r="28" spans="1:7" x14ac:dyDescent="0.2">
      <c r="A28" t="str">
        <f>I1b!A28</f>
        <v>demRgnUKH</v>
      </c>
      <c r="B28">
        <f>I1b!B28</f>
        <v>-0.14911585485528636</v>
      </c>
      <c r="D28" t="str">
        <f>I1b_orig!A28</f>
        <v>demRgnUKH</v>
      </c>
      <c r="E28">
        <f>I1b_orig!B28</f>
        <v>-0.14911585485529091</v>
      </c>
      <c r="G28" s="1">
        <f t="shared" si="0"/>
        <v>4.5519144009631418E-15</v>
      </c>
    </row>
    <row r="29" spans="1:7" x14ac:dyDescent="0.2">
      <c r="A29" t="str">
        <f>I1b!A29</f>
        <v>demRgnUKJ</v>
      </c>
      <c r="B29">
        <f>I1b!B29</f>
        <v>-0.10893080857936771</v>
      </c>
      <c r="D29" t="str">
        <f>I1b_orig!A29</f>
        <v>demRgnUKJ</v>
      </c>
      <c r="E29">
        <f>I1b_orig!B29</f>
        <v>-0.10893080857937303</v>
      </c>
      <c r="G29" s="1">
        <f t="shared" si="0"/>
        <v>5.3151927303929369E-15</v>
      </c>
    </row>
    <row r="30" spans="1:7" x14ac:dyDescent="0.2">
      <c r="A30" t="str">
        <f>I1b!A30</f>
        <v>demRgnUKK</v>
      </c>
      <c r="B30">
        <f>I1b!B30</f>
        <v>-0.14854631438601457</v>
      </c>
      <c r="D30" t="str">
        <f>I1b_orig!A30</f>
        <v>demRgnUKK</v>
      </c>
      <c r="E30">
        <f>I1b_orig!B30</f>
        <v>-0.14854631438602228</v>
      </c>
      <c r="G30" s="1">
        <f t="shared" si="0"/>
        <v>7.716050021144838E-15</v>
      </c>
    </row>
    <row r="31" spans="1:7" x14ac:dyDescent="0.2">
      <c r="A31" t="str">
        <f>I1b!A31</f>
        <v>demRgnUKL</v>
      </c>
      <c r="B31">
        <f>I1b!B31</f>
        <v>-8.1263474315257614E-2</v>
      </c>
      <c r="D31" t="str">
        <f>I1b_orig!A31</f>
        <v>demRgnUKL</v>
      </c>
      <c r="E31">
        <f>I1b_orig!B31</f>
        <v>-8.1263474315263859E-2</v>
      </c>
      <c r="G31" s="1">
        <f t="shared" si="0"/>
        <v>6.2450045135165055E-15</v>
      </c>
    </row>
    <row r="32" spans="1:7" x14ac:dyDescent="0.2">
      <c r="A32" t="str">
        <f>I1b!A32</f>
        <v>demRgnUKM</v>
      </c>
      <c r="B32">
        <f>I1b!B32</f>
        <v>2.6831220403723262E-3</v>
      </c>
      <c r="D32" t="str">
        <f>I1b_orig!A32</f>
        <v>demRgnUKM</v>
      </c>
      <c r="E32">
        <f>I1b_orig!B32</f>
        <v>2.6831220403663539E-3</v>
      </c>
      <c r="G32" s="1">
        <f t="shared" si="0"/>
        <v>5.9722192469191526E-15</v>
      </c>
    </row>
    <row r="33" spans="1:7" x14ac:dyDescent="0.2">
      <c r="A33" t="str">
        <f>I1b!A33</f>
        <v>demRgnUKN</v>
      </c>
      <c r="B33">
        <f>I1b!B33</f>
        <v>-1.9581736500479587E-2</v>
      </c>
      <c r="D33" t="str">
        <f>I1b_orig!A33</f>
        <v>demRgnUKN</v>
      </c>
      <c r="E33">
        <f>I1b_orig!B33</f>
        <v>-1.9581736500488042E-2</v>
      </c>
      <c r="G33" s="1">
        <f t="shared" si="0"/>
        <v>8.4550422219109578E-15</v>
      </c>
    </row>
    <row r="34" spans="1:7" x14ac:dyDescent="0.2">
      <c r="A34" t="str">
        <f>I1b!A34</f>
        <v>demYearTransformed</v>
      </c>
      <c r="B34">
        <f>I1b!B34</f>
        <v>1.6977879756804849E-2</v>
      </c>
      <c r="D34" t="str">
        <f>I1b_orig!A34</f>
        <v>Year_transformed</v>
      </c>
      <c r="E34">
        <f>I1b_orig!B34</f>
        <v>1.6977879756805436E-2</v>
      </c>
      <c r="G34" s="1">
        <f t="shared" si="0"/>
        <v>-5.863365348801608E-16</v>
      </c>
    </row>
    <row r="35" spans="1:7" x14ac:dyDescent="0.2">
      <c r="A35" t="str">
        <f>I1b!A35</f>
        <v>demYear2020</v>
      </c>
      <c r="B35">
        <f>I1b!B35</f>
        <v>-8.3125609798675365E-2</v>
      </c>
      <c r="D35" t="str">
        <f>I1b_orig!A35</f>
        <v>Y2020</v>
      </c>
      <c r="E35">
        <f>I1b_orig!B35</f>
        <v>-8.3125609798676267E-2</v>
      </c>
      <c r="G35" s="1">
        <f t="shared" si="0"/>
        <v>9.0205620750793969E-16</v>
      </c>
    </row>
    <row r="36" spans="1:7" x14ac:dyDescent="0.2">
      <c r="A36" t="str">
        <f>I1b!A36</f>
        <v>demYear2021</v>
      </c>
      <c r="B36">
        <f>I1b!B36</f>
        <v>-7.4900610522600955E-2</v>
      </c>
      <c r="D36" t="str">
        <f>I1b_orig!A36</f>
        <v>Y2021</v>
      </c>
      <c r="E36">
        <f>I1b_orig!B36</f>
        <v>-7.4900610522602676E-2</v>
      </c>
      <c r="G36" s="1">
        <f t="shared" si="0"/>
        <v>1.7208456881689926E-15</v>
      </c>
    </row>
    <row r="37" spans="1:7" x14ac:dyDescent="0.2">
      <c r="A37" t="str">
        <f>I1b!A37</f>
        <v>demEthnC4Asian</v>
      </c>
      <c r="B37">
        <f>I1b!B37</f>
        <v>0.42421748586964231</v>
      </c>
      <c r="D37" t="str">
        <f>I1b_orig!A37</f>
        <v>demEthnC4Asian</v>
      </c>
      <c r="E37">
        <f>I1b_orig!B37</f>
        <v>0.4242174858696407</v>
      </c>
      <c r="G37" s="1">
        <f t="shared" si="0"/>
        <v>1.609823385706477E-15</v>
      </c>
    </row>
    <row r="38" spans="1:7" x14ac:dyDescent="0.2">
      <c r="A38" t="str">
        <f>I1b!A38</f>
        <v>demEthnC4Black</v>
      </c>
      <c r="B38">
        <f>I1b!B38</f>
        <v>0.15675956524938986</v>
      </c>
      <c r="D38" t="str">
        <f>I1b_orig!A38</f>
        <v>demEthnC4Black</v>
      </c>
      <c r="E38">
        <f>I1b_orig!B38</f>
        <v>0.15675956524938389</v>
      </c>
      <c r="G38" s="1">
        <f t="shared" si="0"/>
        <v>5.9674487573602164E-15</v>
      </c>
    </row>
    <row r="39" spans="1:7" x14ac:dyDescent="0.2">
      <c r="A39" t="str">
        <f>I1b!A39</f>
        <v>demEthnC4Other</v>
      </c>
      <c r="B39">
        <f>I1b!B39</f>
        <v>0.26976762280753652</v>
      </c>
      <c r="D39" t="str">
        <f>I1b_orig!A39</f>
        <v>demEthnC4Other</v>
      </c>
      <c r="E39">
        <f>I1b_orig!B39</f>
        <v>0.26976762280753463</v>
      </c>
      <c r="G39" s="1">
        <f t="shared" si="0"/>
        <v>1.8873791418627661E-15</v>
      </c>
    </row>
    <row r="40" spans="1:7" x14ac:dyDescent="0.2">
      <c r="A40" t="str">
        <f>I1b!A40</f>
        <v>Constant</v>
      </c>
      <c r="B40">
        <f>I1b!B40</f>
        <v>2.0575396902416117</v>
      </c>
      <c r="D40" t="str">
        <f>I1b_orig!A40</f>
        <v>Constant</v>
      </c>
      <c r="E40">
        <f>I1b_orig!B40</f>
        <v>2.0575396902417773</v>
      </c>
      <c r="G40" s="1">
        <f t="shared" si="0"/>
        <v>-1.6564527527407336E-13</v>
      </c>
    </row>
    <row r="41" spans="1:7" x14ac:dyDescent="0.2">
      <c r="G41" s="1"/>
    </row>
    <row r="42" spans="1:7" x14ac:dyDescent="0.2">
      <c r="G4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G30"/>
  <sheetViews>
    <sheetView workbookViewId="0">
      <selection activeCell="G2" sqref="G2:G30"/>
    </sheetView>
  </sheetViews>
  <sheetFormatPr baseColWidth="10" defaultColWidth="8.83203125" defaultRowHeight="15" x14ac:dyDescent="0.2"/>
  <cols>
    <col min="1" max="1" width="33" customWidth="1"/>
    <col min="4" max="4" width="24.5" customWidth="1"/>
  </cols>
  <sheetData>
    <row r="1" spans="1:7" x14ac:dyDescent="0.2">
      <c r="A1" t="str">
        <f>I2b!A1</f>
        <v>REGRESSOR</v>
      </c>
      <c r="B1" t="str">
        <f>I2b!B1</f>
        <v>COEFFICIENT</v>
      </c>
      <c r="D1" t="str">
        <f>I2b_orig!A1</f>
        <v>REGRESSOR</v>
      </c>
      <c r="E1" t="str">
        <f>I2b_orig!B1</f>
        <v>COEFFICIENT</v>
      </c>
      <c r="G1" t="s">
        <v>108</v>
      </c>
    </row>
    <row r="2" spans="1:7" x14ac:dyDescent="0.2">
      <c r="A2" t="str">
        <f>I2b!A2</f>
        <v>demMaleFlag</v>
      </c>
      <c r="B2">
        <f>I2b!B2</f>
        <v>0.26086921258588752</v>
      </c>
      <c r="D2" t="str">
        <f>I2b_orig!A2</f>
        <v>Dgn</v>
      </c>
      <c r="E2">
        <f>I2b_orig!B2</f>
        <v>0.26086921258588458</v>
      </c>
      <c r="G2" s="1">
        <f>B2-E2</f>
        <v>2.9420910152566648E-15</v>
      </c>
    </row>
    <row r="3" spans="1:7" x14ac:dyDescent="0.2">
      <c r="A3" t="str">
        <f>I2b!A3</f>
        <v>demAge</v>
      </c>
      <c r="B3">
        <f>I2b!B3</f>
        <v>-1.0083303325763706E-2</v>
      </c>
      <c r="D3" t="str">
        <f>I2b_orig!A3</f>
        <v>Dag</v>
      </c>
      <c r="E3">
        <f>I2b_orig!B3</f>
        <v>-1.0083303325763626E-2</v>
      </c>
      <c r="G3" s="1">
        <f t="shared" ref="G3:G30" si="0">B3-E3</f>
        <v>-7.9797279894933126E-17</v>
      </c>
    </row>
    <row r="4" spans="1:7" x14ac:dyDescent="0.2">
      <c r="A4" t="str">
        <f>I2b!A4</f>
        <v>eduHighestC4High</v>
      </c>
      <c r="B4">
        <f>I2b!B4</f>
        <v>0.62675370552987142</v>
      </c>
      <c r="D4" t="str">
        <f>I2b_orig!A4</f>
        <v>Deh_c4_High</v>
      </c>
      <c r="E4">
        <f>I2b_orig!B4</f>
        <v>0.62675370552988385</v>
      </c>
      <c r="G4" s="1">
        <f t="shared" si="0"/>
        <v>-1.2434497875801753E-14</v>
      </c>
    </row>
    <row r="5" spans="1:7" x14ac:dyDescent="0.2">
      <c r="A5" t="str">
        <f>I2b!A5</f>
        <v>eduHighestC4Medium</v>
      </c>
      <c r="B5">
        <f>I2b!B5</f>
        <v>0.27465081983139028</v>
      </c>
      <c r="D5" t="str">
        <f>I2b_orig!A5</f>
        <v>Deh_c4_Medium</v>
      </c>
      <c r="E5">
        <f>I2b_orig!B5</f>
        <v>0.27465081983139389</v>
      </c>
      <c r="G5" s="1">
        <f t="shared" si="0"/>
        <v>-3.6082248300317588E-15</v>
      </c>
    </row>
    <row r="6" spans="1:7" x14ac:dyDescent="0.2">
      <c r="A6" t="str">
        <f>I2b!A6</f>
        <v>demCompHhC4CoupleChL1</v>
      </c>
      <c r="B6">
        <f>I2b!B6</f>
        <v>4.6534826202767034E-2</v>
      </c>
      <c r="D6" t="str">
        <f>I2b_orig!A6</f>
        <v>Dhhtp_c4_CoupleChildren_L1</v>
      </c>
      <c r="E6">
        <f>I2b_orig!B6</f>
        <v>4.6534826202763377E-2</v>
      </c>
      <c r="G6" s="1">
        <f t="shared" si="0"/>
        <v>3.6567970873591094E-15</v>
      </c>
    </row>
    <row r="7" spans="1:7" x14ac:dyDescent="0.2">
      <c r="A7" t="str">
        <f>I2b!A7</f>
        <v>demCompHhC4SingleNoChL1</v>
      </c>
      <c r="B7">
        <f>I2b!B7</f>
        <v>1.3678858868432803E-2</v>
      </c>
      <c r="D7" t="str">
        <f>I2b_orig!A7</f>
        <v>Dhhtp_c4_SingleNoChildren_L1</v>
      </c>
      <c r="E7">
        <f>I2b_orig!B7</f>
        <v>1.3678858868435784E-2</v>
      </c>
      <c r="G7" s="1">
        <f t="shared" si="0"/>
        <v>-2.9802549317281546E-15</v>
      </c>
    </row>
    <row r="8" spans="1:7" x14ac:dyDescent="0.2">
      <c r="A8" t="str">
        <f>I2b!A8</f>
        <v>demCompHhC4SingleChL1</v>
      </c>
      <c r="B8">
        <f>I2b!B8</f>
        <v>0.12488021874614558</v>
      </c>
      <c r="D8" t="str">
        <f>I2b_orig!A8</f>
        <v>Dhhtp_c4_SingleChildren_L1</v>
      </c>
      <c r="E8">
        <f>I2b_orig!B8</f>
        <v>0.12488021874614855</v>
      </c>
      <c r="G8" s="1">
        <f t="shared" si="0"/>
        <v>-2.9698465908722937E-15</v>
      </c>
    </row>
    <row r="9" spans="1:7" x14ac:dyDescent="0.2">
      <c r="A9" t="str">
        <f>I2b!A9</f>
        <v>healthPhysicalPcsL1</v>
      </c>
      <c r="B9">
        <f>I2b!B9</f>
        <v>6.2493874097019463E-3</v>
      </c>
      <c r="D9" t="str">
        <f>I2b_orig!A9</f>
        <v>Dhe_pcs_L1</v>
      </c>
      <c r="E9">
        <f>I2b_orig!B9</f>
        <v>6.2493874097019541E-3</v>
      </c>
      <c r="G9" s="1">
        <f t="shared" si="0"/>
        <v>-7.8062556418956319E-18</v>
      </c>
    </row>
    <row r="10" spans="1:7" x14ac:dyDescent="0.2">
      <c r="A10" t="str">
        <f>I2b!A10</f>
        <v>healthMentalMcsL1</v>
      </c>
      <c r="B10">
        <f>I2b!B10</f>
        <v>3.0801299535677565E-3</v>
      </c>
      <c r="D10" t="str">
        <f>I2b_orig!A10</f>
        <v>Dhe_mcs_L1</v>
      </c>
      <c r="E10">
        <f>I2b_orig!B10</f>
        <v>3.0801299535677625E-3</v>
      </c>
      <c r="G10" s="1">
        <f t="shared" si="0"/>
        <v>-6.0715321659188248E-18</v>
      </c>
    </row>
    <row r="11" spans="1:7" x14ac:dyDescent="0.2">
      <c r="A11" t="str">
        <f>I2b!A11</f>
        <v>yPensPersGrossMonthL1</v>
      </c>
      <c r="B11">
        <f>I2b!B11</f>
        <v>0.25503874819399758</v>
      </c>
      <c r="D11" t="str">
        <f>I2b_orig!A11</f>
        <v>Ypnoab_L1</v>
      </c>
      <c r="E11">
        <f>I2b_orig!B11</f>
        <v>0.25503874819399736</v>
      </c>
      <c r="G11" s="1">
        <f t="shared" si="0"/>
        <v>0</v>
      </c>
    </row>
    <row r="12" spans="1:7" x14ac:dyDescent="0.2">
      <c r="A12" t="str">
        <f>I2b!A12</f>
        <v>yPensPersGrossMonthL2</v>
      </c>
      <c r="B12">
        <f>I2b!B12</f>
        <v>0.10422839722279777</v>
      </c>
      <c r="D12" t="str">
        <f>I2b_orig!A12</f>
        <v>Ypnoab_L2</v>
      </c>
      <c r="E12">
        <f>I2b_orig!B12</f>
        <v>0.10422839722279754</v>
      </c>
      <c r="G12" s="1">
        <f t="shared" si="0"/>
        <v>2.2204460492503131E-16</v>
      </c>
    </row>
    <row r="13" spans="1:7" x14ac:dyDescent="0.2">
      <c r="A13" t="str">
        <f>I2b!A13</f>
        <v>demRgnUKC</v>
      </c>
      <c r="B13">
        <f>I2b!B13</f>
        <v>-0.10294961915875188</v>
      </c>
      <c r="D13" t="str">
        <f>I2b_orig!A13</f>
        <v>demRgnUKC</v>
      </c>
      <c r="E13">
        <f>I2b_orig!B13</f>
        <v>-0.10294961915875096</v>
      </c>
      <c r="G13" s="1">
        <f t="shared" si="0"/>
        <v>-9.1593399531575415E-16</v>
      </c>
    </row>
    <row r="14" spans="1:7" x14ac:dyDescent="0.2">
      <c r="A14" t="str">
        <f>I2b!A14</f>
        <v>demRgnUKD</v>
      </c>
      <c r="B14">
        <f>I2b!B14</f>
        <v>-0.13016543891006202</v>
      </c>
      <c r="D14" t="str">
        <f>I2b_orig!A14</f>
        <v>demRgnUKD</v>
      </c>
      <c r="E14">
        <f>I2b_orig!B14</f>
        <v>-0.13016543891006116</v>
      </c>
      <c r="G14" s="1">
        <f t="shared" si="0"/>
        <v>-8.6042284408449632E-16</v>
      </c>
    </row>
    <row r="15" spans="1:7" x14ac:dyDescent="0.2">
      <c r="A15" t="str">
        <f>I2b!A15</f>
        <v>demRgnUKE</v>
      </c>
      <c r="B15">
        <f>I2b!B15</f>
        <v>-0.13710402455490492</v>
      </c>
      <c r="D15" t="str">
        <f>I2b_orig!A15</f>
        <v>demRgnUKE</v>
      </c>
      <c r="E15">
        <f>I2b_orig!B15</f>
        <v>-0.13710402455490389</v>
      </c>
      <c r="G15" s="1">
        <f t="shared" si="0"/>
        <v>-1.0269562977782698E-15</v>
      </c>
    </row>
    <row r="16" spans="1:7" x14ac:dyDescent="0.2">
      <c r="A16" t="str">
        <f>I2b!A16</f>
        <v>demRgnUKF</v>
      </c>
      <c r="B16">
        <f>I2b!B16</f>
        <v>-0.10214690113004134</v>
      </c>
      <c r="D16" t="str">
        <f>I2b_orig!A16</f>
        <v>demRgnUKF</v>
      </c>
      <c r="E16">
        <f>I2b_orig!B16</f>
        <v>-0.10214690113004034</v>
      </c>
      <c r="G16" s="1">
        <f t="shared" si="0"/>
        <v>-9.9920072216264089E-16</v>
      </c>
    </row>
    <row r="17" spans="1:7" x14ac:dyDescent="0.2">
      <c r="A17" t="str">
        <f>I2b!A17</f>
        <v>demRgnUKG</v>
      </c>
      <c r="B17">
        <f>I2b!B17</f>
        <v>-9.6243105067744444E-2</v>
      </c>
      <c r="D17" t="str">
        <f>I2b_orig!A17</f>
        <v>demRgnUKG</v>
      </c>
      <c r="E17">
        <f>I2b_orig!B17</f>
        <v>-9.6243105067743473E-2</v>
      </c>
      <c r="G17" s="1">
        <f t="shared" si="0"/>
        <v>-9.7144514654701197E-16</v>
      </c>
    </row>
    <row r="18" spans="1:7" x14ac:dyDescent="0.2">
      <c r="A18" t="str">
        <f>I2b!A18</f>
        <v>demRgnUKH</v>
      </c>
      <c r="B18">
        <f>I2b!B18</f>
        <v>-0.12467514908057388</v>
      </c>
      <c r="D18" t="str">
        <f>I2b_orig!A18</f>
        <v>demRgnUKH</v>
      </c>
      <c r="E18">
        <f>I2b_orig!B18</f>
        <v>-0.12467514908057314</v>
      </c>
      <c r="G18" s="1">
        <f t="shared" si="0"/>
        <v>-7.3552275381416621E-16</v>
      </c>
    </row>
    <row r="19" spans="1:7" x14ac:dyDescent="0.2">
      <c r="A19" t="str">
        <f>I2b!A19</f>
        <v>demRgnUKJ</v>
      </c>
      <c r="B19">
        <f>I2b!B19</f>
        <v>-3.8492589906147498E-2</v>
      </c>
      <c r="D19" t="str">
        <f>I2b_orig!A19</f>
        <v>demRgnUKJ</v>
      </c>
      <c r="E19">
        <f>I2b_orig!B19</f>
        <v>-3.8492589906147366E-2</v>
      </c>
      <c r="G19" s="1">
        <f t="shared" si="0"/>
        <v>-1.3183898417423734E-16</v>
      </c>
    </row>
    <row r="20" spans="1:7" x14ac:dyDescent="0.2">
      <c r="A20" t="str">
        <f>I2b!A20</f>
        <v>demRgnUKK</v>
      </c>
      <c r="B20">
        <f>I2b!B20</f>
        <v>-0.12206767108776906</v>
      </c>
      <c r="D20" t="str">
        <f>I2b_orig!A20</f>
        <v>demRgnUKK</v>
      </c>
      <c r="E20">
        <f>I2b_orig!B20</f>
        <v>-0.12206767108776834</v>
      </c>
      <c r="G20" s="1">
        <f t="shared" si="0"/>
        <v>-7.2164496600635175E-16</v>
      </c>
    </row>
    <row r="21" spans="1:7" x14ac:dyDescent="0.2">
      <c r="A21" t="str">
        <f>I2b!A21</f>
        <v>demRgnUKL</v>
      </c>
      <c r="B21">
        <f>I2b!B21</f>
        <v>-7.8151511384390901E-2</v>
      </c>
      <c r="D21" t="str">
        <f>I2b_orig!A21</f>
        <v>demRgnUKL</v>
      </c>
      <c r="E21">
        <f>I2b_orig!B21</f>
        <v>-7.8151511384389624E-2</v>
      </c>
      <c r="G21" s="1">
        <f t="shared" si="0"/>
        <v>-1.27675647831893E-15</v>
      </c>
    </row>
    <row r="22" spans="1:7" x14ac:dyDescent="0.2">
      <c r="A22" t="str">
        <f>I2b!A22</f>
        <v>demRgnUKM</v>
      </c>
      <c r="B22">
        <f>I2b!B22</f>
        <v>-8.63352437659934E-2</v>
      </c>
      <c r="D22" t="str">
        <f>I2b_orig!A22</f>
        <v>demRgnUKM</v>
      </c>
      <c r="E22">
        <f>I2b_orig!B22</f>
        <v>-8.633524376599272E-2</v>
      </c>
      <c r="G22" s="1">
        <f t="shared" si="0"/>
        <v>-6.8001160258290838E-16</v>
      </c>
    </row>
    <row r="23" spans="1:7" x14ac:dyDescent="0.2">
      <c r="A23" t="str">
        <f>I2b!A23</f>
        <v>demRgnUKN</v>
      </c>
      <c r="B23">
        <f>I2b!B23</f>
        <v>3.4517592698727083E-2</v>
      </c>
      <c r="D23" t="str">
        <f>I2b_orig!A23</f>
        <v>demRgnUKN</v>
      </c>
      <c r="E23">
        <f>I2b_orig!B23</f>
        <v>3.451759269872804E-2</v>
      </c>
      <c r="G23" s="1">
        <f t="shared" si="0"/>
        <v>-9.5756735873919752E-16</v>
      </c>
    </row>
    <row r="24" spans="1:7" x14ac:dyDescent="0.2">
      <c r="A24" t="str">
        <f>I2b!A24</f>
        <v>demYearTransformed</v>
      </c>
      <c r="B24">
        <f>I2b!B24</f>
        <v>3.3997053979368283E-3</v>
      </c>
      <c r="D24" t="str">
        <f>I2b_orig!A24</f>
        <v>Year_transformed</v>
      </c>
      <c r="E24">
        <f>I2b_orig!B24</f>
        <v>3.399705397936552E-3</v>
      </c>
      <c r="G24" s="1">
        <f t="shared" si="0"/>
        <v>2.7625471354930653E-16</v>
      </c>
    </row>
    <row r="25" spans="1:7" x14ac:dyDescent="0.2">
      <c r="A25" t="str">
        <f>I2b!A25</f>
        <v>demYear2020</v>
      </c>
      <c r="B25">
        <f>I2b!B25</f>
        <v>3.5617599429500726E-2</v>
      </c>
      <c r="D25" t="str">
        <f>I2b_orig!A25</f>
        <v>Y2020</v>
      </c>
      <c r="E25">
        <f>I2b_orig!B25</f>
        <v>3.5617599429500726E-2</v>
      </c>
      <c r="G25" s="1">
        <f t="shared" si="0"/>
        <v>0</v>
      </c>
    </row>
    <row r="26" spans="1:7" x14ac:dyDescent="0.2">
      <c r="A26" t="str">
        <f>I2b!A26</f>
        <v>demYear2021</v>
      </c>
      <c r="B26">
        <f>I2b!B26</f>
        <v>4.2380660518323308E-2</v>
      </c>
      <c r="D26" t="str">
        <f>I2b_orig!A26</f>
        <v>Y2021</v>
      </c>
      <c r="E26">
        <f>I2b_orig!B26</f>
        <v>4.2380660518323281E-2</v>
      </c>
      <c r="G26" s="1">
        <f t="shared" si="0"/>
        <v>0</v>
      </c>
    </row>
    <row r="27" spans="1:7" x14ac:dyDescent="0.2">
      <c r="A27" t="str">
        <f>I2b!A27</f>
        <v>demEthnC4Asian</v>
      </c>
      <c r="B27">
        <f>I2b!B27</f>
        <v>2.8084077149474716E-2</v>
      </c>
      <c r="D27" t="str">
        <f>I2b_orig!A27</f>
        <v>demEthnC4Asian</v>
      </c>
      <c r="E27">
        <f>I2b_orig!B27</f>
        <v>2.8084077149471438E-2</v>
      </c>
      <c r="G27" s="1">
        <f t="shared" si="0"/>
        <v>3.2786273695961654E-15</v>
      </c>
    </row>
    <row r="28" spans="1:7" x14ac:dyDescent="0.2">
      <c r="A28" t="str">
        <f>I2b!A28</f>
        <v>demEthnC4Black</v>
      </c>
      <c r="B28">
        <f>I2b!B28</f>
        <v>-0.10174476549231</v>
      </c>
      <c r="D28" t="str">
        <f>I2b_orig!A28</f>
        <v>demEthnC4Black</v>
      </c>
      <c r="E28">
        <f>I2b_orig!B28</f>
        <v>-0.10174476549231021</v>
      </c>
      <c r="G28" s="1">
        <f t="shared" si="0"/>
        <v>2.0816681711721685E-16</v>
      </c>
    </row>
    <row r="29" spans="1:7" x14ac:dyDescent="0.2">
      <c r="A29" t="str">
        <f>I2b!A29</f>
        <v>demEthnC4Other</v>
      </c>
      <c r="B29">
        <f>I2b!B29</f>
        <v>3.1275406752451697E-2</v>
      </c>
      <c r="D29" t="str">
        <f>I2b_orig!A29</f>
        <v>demEthnC4Other</v>
      </c>
      <c r="E29">
        <f>I2b_orig!B29</f>
        <v>3.127540675245135E-2</v>
      </c>
      <c r="G29" s="1">
        <f t="shared" si="0"/>
        <v>3.4694469519536142E-16</v>
      </c>
    </row>
    <row r="30" spans="1:7" x14ac:dyDescent="0.2">
      <c r="A30" t="str">
        <f>I2b!A30</f>
        <v>Constant</v>
      </c>
      <c r="B30">
        <f>I2b!B30</f>
        <v>4.3262399424390043</v>
      </c>
      <c r="D30" t="str">
        <f>I2b_orig!A30</f>
        <v>Constant</v>
      </c>
      <c r="E30">
        <f>I2b_orig!B30</f>
        <v>4.3262399424390008</v>
      </c>
      <c r="G30" s="1">
        <f t="shared" si="0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G30"/>
  <sheetViews>
    <sheetView workbookViewId="0">
      <selection activeCell="A33" sqref="A33"/>
    </sheetView>
  </sheetViews>
  <sheetFormatPr baseColWidth="10" defaultColWidth="8.83203125" defaultRowHeight="15" x14ac:dyDescent="0.2"/>
  <cols>
    <col min="1" max="1" width="33" customWidth="1"/>
    <col min="4" max="4" width="24.5" customWidth="1"/>
  </cols>
  <sheetData>
    <row r="1" spans="1:7" x14ac:dyDescent="0.2">
      <c r="A1" t="str">
        <f>I3a!A1</f>
        <v>REGRESSOR</v>
      </c>
      <c r="B1" t="str">
        <f>I3a!B1</f>
        <v>COEFFICIENT</v>
      </c>
      <c r="D1" t="str">
        <f>I3a_orig!A1</f>
        <v>REGRESSOR</v>
      </c>
      <c r="E1" t="str">
        <f>I3a_orig!B1</f>
        <v>COEFFICIENT</v>
      </c>
      <c r="G1" t="s">
        <v>108</v>
      </c>
    </row>
    <row r="2" spans="1:7" x14ac:dyDescent="0.2">
      <c r="A2" t="str">
        <f>I3a!A2</f>
        <v>demMaleFlag</v>
      </c>
      <c r="B2">
        <f>I3a!B2</f>
        <v>0.35383795706371352</v>
      </c>
      <c r="D2" t="str">
        <f>I3a_orig!A2</f>
        <v>Dgn</v>
      </c>
      <c r="E2">
        <f>I3a_orig!B2</f>
        <v>0.35383795706371352</v>
      </c>
      <c r="G2" s="1">
        <f>B2-E2</f>
        <v>0</v>
      </c>
    </row>
    <row r="3" spans="1:7" x14ac:dyDescent="0.2">
      <c r="A3" t="str">
        <f>I3a!A3</f>
        <v>demPensAgeFlag</v>
      </c>
      <c r="B3">
        <f>I3a!B3</f>
        <v>0.21625282313097288</v>
      </c>
      <c r="D3" t="str">
        <f>I3a_orig!A3</f>
        <v>Reached_Retirement_Age</v>
      </c>
      <c r="E3">
        <f>I3a_orig!B3</f>
        <v>0.21625282313097285</v>
      </c>
      <c r="G3" s="1">
        <f t="shared" ref="G3:G30" si="0">B3-E3</f>
        <v>0</v>
      </c>
    </row>
    <row r="4" spans="1:7" x14ac:dyDescent="0.2">
      <c r="A4" t="str">
        <f>I3a!A4</f>
        <v>eduHighestC4High</v>
      </c>
      <c r="B4">
        <f>I3a!B4</f>
        <v>0.79410640300768798</v>
      </c>
      <c r="D4" t="str">
        <f>I3a_orig!A4</f>
        <v>Deh_c4_High</v>
      </c>
      <c r="E4">
        <f>I3a_orig!B4</f>
        <v>0.79410640300768798</v>
      </c>
      <c r="G4" s="1">
        <f t="shared" si="0"/>
        <v>0</v>
      </c>
    </row>
    <row r="5" spans="1:7" x14ac:dyDescent="0.2">
      <c r="A5" t="str">
        <f>I3a!A5</f>
        <v>eduHighestC4Medium</v>
      </c>
      <c r="B5">
        <f>I3a!B5</f>
        <v>0.60458273404654383</v>
      </c>
      <c r="D5" t="str">
        <f>I3a_orig!A5</f>
        <v>Deh_c4_Medium</v>
      </c>
      <c r="E5">
        <f>I3a_orig!B5</f>
        <v>0.60458273404654383</v>
      </c>
      <c r="G5" s="1">
        <f t="shared" si="0"/>
        <v>0</v>
      </c>
    </row>
    <row r="6" spans="1:7" x14ac:dyDescent="0.2">
      <c r="A6" t="str">
        <f>I3a!A6</f>
        <v>labStatusC4NotEmployedL1</v>
      </c>
      <c r="B6">
        <f>I3a!B6</f>
        <v>-1.1673514878134148</v>
      </c>
      <c r="D6" t="str">
        <f>I3a_orig!A6</f>
        <v>Les_c4_NotEmployed_L1</v>
      </c>
      <c r="E6">
        <f>I3a_orig!B6</f>
        <v>-1.167351487813415</v>
      </c>
      <c r="G6" s="1">
        <f t="shared" si="0"/>
        <v>0</v>
      </c>
    </row>
    <row r="7" spans="1:7" x14ac:dyDescent="0.2">
      <c r="A7" t="str">
        <f>I3a!A7</f>
        <v>demCompHhC4CoupleChL1</v>
      </c>
      <c r="B7">
        <f>I3a!B7</f>
        <v>7.197745368309931E-2</v>
      </c>
      <c r="D7" t="str">
        <f>I3a_orig!A7</f>
        <v>Dhhtp_c4_CoupleChildren_L1</v>
      </c>
      <c r="E7">
        <f>I3a_orig!B7</f>
        <v>7.1977453683099171E-2</v>
      </c>
      <c r="G7" s="1">
        <f t="shared" si="0"/>
        <v>1.3877787807814457E-16</v>
      </c>
    </row>
    <row r="8" spans="1:7" x14ac:dyDescent="0.2">
      <c r="A8" t="str">
        <f>I3a!A8</f>
        <v>demCompHhC4SingleNoChL1</v>
      </c>
      <c r="B8">
        <f>I3a!B8</f>
        <v>2.8802886463122103E-2</v>
      </c>
      <c r="D8" t="str">
        <f>I3a_orig!A8</f>
        <v>Dhhtp_c4_SingleNoChildren_L1</v>
      </c>
      <c r="E8">
        <f>I3a_orig!B8</f>
        <v>2.8802886463121936E-2</v>
      </c>
      <c r="G8" s="1">
        <f t="shared" si="0"/>
        <v>1.6653345369377348E-16</v>
      </c>
    </row>
    <row r="9" spans="1:7" x14ac:dyDescent="0.2">
      <c r="A9" t="str">
        <f>I3a!A9</f>
        <v>demCompHhC4SingleChL1</v>
      </c>
      <c r="B9">
        <f>I3a!B9</f>
        <v>0.25579165508003499</v>
      </c>
      <c r="D9" t="str">
        <f>I3a_orig!A9</f>
        <v>Dhhtp_c4_SingleChildren_L1</v>
      </c>
      <c r="E9">
        <f>I3a_orig!B9</f>
        <v>0.25579165508003504</v>
      </c>
      <c r="G9" s="1">
        <f t="shared" si="0"/>
        <v>0</v>
      </c>
    </row>
    <row r="10" spans="1:7" x14ac:dyDescent="0.2">
      <c r="A10" t="str">
        <f>I3a!A10</f>
        <v>healthPhysicalPcsL1</v>
      </c>
      <c r="B10">
        <f>I3a!B10</f>
        <v>3.9247229653126383E-3</v>
      </c>
      <c r="D10" t="str">
        <f>I3a_orig!A10</f>
        <v>Dhe_pcs_L1</v>
      </c>
      <c r="E10">
        <f>I3a_orig!B10</f>
        <v>3.9247229653126287E-3</v>
      </c>
      <c r="G10" s="1">
        <f t="shared" si="0"/>
        <v>9.540979117872439E-18</v>
      </c>
    </row>
    <row r="11" spans="1:7" x14ac:dyDescent="0.2">
      <c r="A11" t="str">
        <f>I3a!A11</f>
        <v>healthMentalMcsL1</v>
      </c>
      <c r="B11">
        <f>I3a!B11</f>
        <v>3.7619526794090059E-3</v>
      </c>
      <c r="D11" t="str">
        <f>I3a_orig!A11</f>
        <v>Dhe_mcs_L1</v>
      </c>
      <c r="E11">
        <f>I3a_orig!B11</f>
        <v>3.761952679408966E-3</v>
      </c>
      <c r="G11" s="1">
        <f t="shared" si="0"/>
        <v>3.9898639947466563E-17</v>
      </c>
    </row>
    <row r="12" spans="1:7" x14ac:dyDescent="0.2">
      <c r="A12" t="str">
        <f>I3a!A12</f>
        <v>labWageHrlyLogL1</v>
      </c>
      <c r="B12">
        <f>I3a!B12</f>
        <v>4.3469925592013068E-3</v>
      </c>
      <c r="D12" t="str">
        <f>I3a_orig!A12</f>
        <v>Hourly_wage_L1</v>
      </c>
      <c r="E12">
        <f>I3a_orig!B12</f>
        <v>4.3469925592013042E-3</v>
      </c>
      <c r="G12" s="1">
        <f t="shared" si="0"/>
        <v>0</v>
      </c>
    </row>
    <row r="13" spans="1:7" x14ac:dyDescent="0.2">
      <c r="A13" t="str">
        <f>I3a!A13</f>
        <v>demRgnUKC</v>
      </c>
      <c r="B13">
        <f>I3a!B13</f>
        <v>5.9541999878816997E-2</v>
      </c>
      <c r="D13" t="str">
        <f>I3a_orig!A13</f>
        <v>demRgnUKC</v>
      </c>
      <c r="E13">
        <f>I3a_orig!B13</f>
        <v>5.9541999878816393E-2</v>
      </c>
      <c r="G13" s="1">
        <f t="shared" si="0"/>
        <v>6.0368376963992887E-16</v>
      </c>
    </row>
    <row r="14" spans="1:7" x14ac:dyDescent="0.2">
      <c r="A14" t="str">
        <f>I3a!A14</f>
        <v>demRgnUKD</v>
      </c>
      <c r="B14">
        <f>I3a!B14</f>
        <v>0.22558555568116789</v>
      </c>
      <c r="D14" t="str">
        <f>I3a_orig!A14</f>
        <v>demRgnUKD</v>
      </c>
      <c r="E14">
        <f>I3a_orig!B14</f>
        <v>0.22558555568116731</v>
      </c>
      <c r="G14" s="1">
        <f t="shared" si="0"/>
        <v>5.8286708792820718E-16</v>
      </c>
    </row>
    <row r="15" spans="1:7" x14ac:dyDescent="0.2">
      <c r="A15" t="str">
        <f>I3a!A15</f>
        <v>demRgnUKE</v>
      </c>
      <c r="B15">
        <f>I3a!B15</f>
        <v>0.21967315322539233</v>
      </c>
      <c r="D15" t="str">
        <f>I3a_orig!A15</f>
        <v>demRgnUKE</v>
      </c>
      <c r="E15">
        <f>I3a_orig!B15</f>
        <v>0.21967315322539183</v>
      </c>
      <c r="G15" s="1">
        <f t="shared" si="0"/>
        <v>4.9960036108132044E-16</v>
      </c>
    </row>
    <row r="16" spans="1:7" x14ac:dyDescent="0.2">
      <c r="A16" t="str">
        <f>I3a!A16</f>
        <v>demRgnUKF</v>
      </c>
      <c r="B16">
        <f>I3a!B16</f>
        <v>0.11930619595063881</v>
      </c>
      <c r="D16" t="str">
        <f>I3a_orig!A16</f>
        <v>demRgnUKF</v>
      </c>
      <c r="E16">
        <f>I3a_orig!B16</f>
        <v>0.11930619595063831</v>
      </c>
      <c r="G16" s="1">
        <f t="shared" si="0"/>
        <v>4.9960036108132044E-16</v>
      </c>
    </row>
    <row r="17" spans="1:7" x14ac:dyDescent="0.2">
      <c r="A17" t="str">
        <f>I3a!A17</f>
        <v>demRgnUKG</v>
      </c>
      <c r="B17">
        <f>I3a!B17</f>
        <v>-0.12650521305217277</v>
      </c>
      <c r="D17" t="str">
        <f>I3a_orig!A17</f>
        <v>demRgnUKG</v>
      </c>
      <c r="E17">
        <f>I3a_orig!B17</f>
        <v>-0.1265052130521733</v>
      </c>
      <c r="G17" s="1">
        <f t="shared" si="0"/>
        <v>5.2735593669694936E-16</v>
      </c>
    </row>
    <row r="18" spans="1:7" x14ac:dyDescent="0.2">
      <c r="A18" t="str">
        <f>I3a!A18</f>
        <v>demRgnUKH</v>
      </c>
      <c r="B18">
        <f>I3a!B18</f>
        <v>0.18489000921177265</v>
      </c>
      <c r="D18" t="str">
        <f>I3a_orig!A18</f>
        <v>demRgnUKH</v>
      </c>
      <c r="E18">
        <f>I3a_orig!B18</f>
        <v>0.18489000921177204</v>
      </c>
      <c r="G18" s="1">
        <f t="shared" si="0"/>
        <v>6.106226635438361E-16</v>
      </c>
    </row>
    <row r="19" spans="1:7" x14ac:dyDescent="0.2">
      <c r="A19" t="str">
        <f>I3a!A19</f>
        <v>demRgnUKJ</v>
      </c>
      <c r="B19">
        <f>I3a!B19</f>
        <v>-9.0382990810539583E-3</v>
      </c>
      <c r="D19" t="str">
        <f>I3a_orig!A19</f>
        <v>demRgnUKJ</v>
      </c>
      <c r="E19">
        <f>I3a_orig!B19</f>
        <v>-9.0382990810545169E-3</v>
      </c>
      <c r="G19" s="1">
        <f t="shared" si="0"/>
        <v>5.5858095926453188E-16</v>
      </c>
    </row>
    <row r="20" spans="1:7" x14ac:dyDescent="0.2">
      <c r="A20" t="str">
        <f>I3a!A20</f>
        <v>demRgnUKK</v>
      </c>
      <c r="B20">
        <f>I3a!B20</f>
        <v>-7.0996551267898902E-2</v>
      </c>
      <c r="D20" t="str">
        <f>I3a_orig!A20</f>
        <v>demRgnUKK</v>
      </c>
      <c r="E20">
        <f>I3a_orig!B20</f>
        <v>-7.0996551267899333E-2</v>
      </c>
      <c r="G20" s="1">
        <f t="shared" si="0"/>
        <v>4.3021142204224816E-16</v>
      </c>
    </row>
    <row r="21" spans="1:7" x14ac:dyDescent="0.2">
      <c r="A21" t="str">
        <f>I3a!A21</f>
        <v>demRgnUKL</v>
      </c>
      <c r="B21">
        <f>I3a!B21</f>
        <v>-1.3661630081886944E-2</v>
      </c>
      <c r="D21" t="str">
        <f>I3a_orig!A21</f>
        <v>demRgnUKL</v>
      </c>
      <c r="E21">
        <f>I3a_orig!B21</f>
        <v>-1.3661630081887482E-2</v>
      </c>
      <c r="G21" s="1">
        <f t="shared" si="0"/>
        <v>5.377642775528102E-16</v>
      </c>
    </row>
    <row r="22" spans="1:7" x14ac:dyDescent="0.2">
      <c r="A22" t="str">
        <f>I3a!A22</f>
        <v>demRgnUKM</v>
      </c>
      <c r="B22">
        <f>I3a!B22</f>
        <v>-0.13877756285876486</v>
      </c>
      <c r="D22" t="str">
        <f>I3a_orig!A22</f>
        <v>demRgnUKM</v>
      </c>
      <c r="E22">
        <f>I3a_orig!B22</f>
        <v>-0.13877756285876541</v>
      </c>
      <c r="G22" s="1">
        <f t="shared" si="0"/>
        <v>5.5511151231257827E-16</v>
      </c>
    </row>
    <row r="23" spans="1:7" x14ac:dyDescent="0.2">
      <c r="A23" t="str">
        <f>I3a!A23</f>
        <v>demRgnUKN</v>
      </c>
      <c r="B23">
        <f>I3a!B23</f>
        <v>-0.4406824641071726</v>
      </c>
      <c r="D23" t="str">
        <f>I3a_orig!A23</f>
        <v>demRgnUKN</v>
      </c>
      <c r="E23">
        <f>I3a_orig!B23</f>
        <v>-0.44068246410717321</v>
      </c>
      <c r="G23" s="1">
        <f t="shared" si="0"/>
        <v>6.106226635438361E-16</v>
      </c>
    </row>
    <row r="24" spans="1:7" x14ac:dyDescent="0.2">
      <c r="A24" t="str">
        <f>I3a!A24</f>
        <v>demYearTransformed</v>
      </c>
      <c r="B24">
        <f>I3a!B24</f>
        <v>-1.7460122726642144E-2</v>
      </c>
      <c r="D24" t="str">
        <f>I3a_orig!A24</f>
        <v>Year_transformed</v>
      </c>
      <c r="E24">
        <f>I3a_orig!B24</f>
        <v>-1.746012272664221E-2</v>
      </c>
      <c r="G24" s="1">
        <f t="shared" si="0"/>
        <v>6.591949208711867E-17</v>
      </c>
    </row>
    <row r="25" spans="1:7" x14ac:dyDescent="0.2">
      <c r="A25" t="str">
        <f>I3a!A25</f>
        <v>demYear2020</v>
      </c>
      <c r="B25">
        <f>I3a!B25</f>
        <v>-0.10757538509916657</v>
      </c>
      <c r="D25" t="str">
        <f>I3a_orig!A25</f>
        <v>Y2020</v>
      </c>
      <c r="E25">
        <f>I3a_orig!B25</f>
        <v>-0.10757538509916646</v>
      </c>
      <c r="G25" s="1">
        <f t="shared" si="0"/>
        <v>-1.1102230246251565E-16</v>
      </c>
    </row>
    <row r="26" spans="1:7" x14ac:dyDescent="0.2">
      <c r="A26" t="str">
        <f>I3a!A26</f>
        <v>demYear2021</v>
      </c>
      <c r="B26">
        <f>I3a!B26</f>
        <v>0.12252227737286392</v>
      </c>
      <c r="D26" t="str">
        <f>I3a_orig!A26</f>
        <v>Y2021</v>
      </c>
      <c r="E26">
        <f>I3a_orig!B26</f>
        <v>0.12252227737286411</v>
      </c>
      <c r="G26" s="1">
        <f t="shared" si="0"/>
        <v>-1.9428902930940239E-16</v>
      </c>
    </row>
    <row r="27" spans="1:7" x14ac:dyDescent="0.2">
      <c r="A27" t="str">
        <f>I3a!A27</f>
        <v>demEthnC4Asian</v>
      </c>
      <c r="B27">
        <f>I3a!B27</f>
        <v>-0.79457116743206224</v>
      </c>
      <c r="D27" t="str">
        <f>I3a_orig!A27</f>
        <v>demEthnC4Asian</v>
      </c>
      <c r="E27">
        <f>I3a_orig!B27</f>
        <v>-0.79457116743206246</v>
      </c>
      <c r="G27" s="1">
        <f t="shared" si="0"/>
        <v>0</v>
      </c>
    </row>
    <row r="28" spans="1:7" x14ac:dyDescent="0.2">
      <c r="A28" t="str">
        <f>I3a!A28</f>
        <v>demEthnC4Black</v>
      </c>
      <c r="B28">
        <f>I3a!B28</f>
        <v>0.52650420936035291</v>
      </c>
      <c r="D28" t="str">
        <f>I3a_orig!A28</f>
        <v>demEthnC4Black</v>
      </c>
      <c r="E28">
        <f>I3a_orig!B28</f>
        <v>0.52650420936035303</v>
      </c>
      <c r="G28" s="1">
        <f t="shared" si="0"/>
        <v>0</v>
      </c>
    </row>
    <row r="29" spans="1:7" x14ac:dyDescent="0.2">
      <c r="A29" t="str">
        <f>I3a!A29</f>
        <v>demEthnC4Other</v>
      </c>
      <c r="B29">
        <f>I3a!B29</f>
        <v>-0.23410121988567761</v>
      </c>
      <c r="D29" t="str">
        <f>I3a_orig!A29</f>
        <v>demEthnC4Other</v>
      </c>
      <c r="E29">
        <f>I3a_orig!B29</f>
        <v>-0.23410121988567759</v>
      </c>
      <c r="G29" s="1">
        <f t="shared" si="0"/>
        <v>0</v>
      </c>
    </row>
    <row r="30" spans="1:7" x14ac:dyDescent="0.2">
      <c r="A30" t="str">
        <f>I3a!A30</f>
        <v>Constant</v>
      </c>
      <c r="B30">
        <f>I3a!B30</f>
        <v>-5.6274553067065733E-2</v>
      </c>
      <c r="D30" t="str">
        <f>I3a_orig!A30</f>
        <v>Constant</v>
      </c>
      <c r="E30">
        <f>I3a_orig!B30</f>
        <v>-5.6274553067061389E-2</v>
      </c>
      <c r="G30" s="1">
        <f t="shared" si="0"/>
        <v>-4.343747583845925E-15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G30"/>
  <sheetViews>
    <sheetView topLeftCell="A19" workbookViewId="0">
      <selection activeCell="G15" sqref="G15"/>
    </sheetView>
  </sheetViews>
  <sheetFormatPr baseColWidth="10" defaultColWidth="8.83203125" defaultRowHeight="15" x14ac:dyDescent="0.2"/>
  <cols>
    <col min="1" max="1" width="33" customWidth="1"/>
    <col min="4" max="4" width="24.5" customWidth="1"/>
  </cols>
  <sheetData>
    <row r="1" spans="1:7" x14ac:dyDescent="0.2">
      <c r="A1" t="str">
        <f>I3b!A1</f>
        <v>REGRESSOR</v>
      </c>
      <c r="B1" t="str">
        <f>I3b!B1</f>
        <v>COEFFICIENT</v>
      </c>
      <c r="D1" t="str">
        <f>I3b_orig!A1</f>
        <v>REGRESSOR</v>
      </c>
      <c r="E1" t="str">
        <f>I3b_orig!B1</f>
        <v>COEFFICIENT</v>
      </c>
      <c r="G1" t="s">
        <v>108</v>
      </c>
    </row>
    <row r="2" spans="1:7" x14ac:dyDescent="0.2">
      <c r="A2" t="str">
        <f>I3b!A2</f>
        <v>demMaleFlag</v>
      </c>
      <c r="B2">
        <f>I3b!B2</f>
        <v>0.44711177127315149</v>
      </c>
      <c r="D2" t="str">
        <f>I3b_orig!A2</f>
        <v>Dgn</v>
      </c>
      <c r="E2">
        <f>I3b_orig!B2</f>
        <v>0.44711177127314689</v>
      </c>
      <c r="G2" s="1">
        <f>B2-E2</f>
        <v>4.6074255521943996E-15</v>
      </c>
    </row>
    <row r="3" spans="1:7" x14ac:dyDescent="0.2">
      <c r="A3" t="str">
        <f>I3b!A3</f>
        <v>demAge</v>
      </c>
      <c r="B3">
        <f>I3b!B3</f>
        <v>-5.9093502861091302E-2</v>
      </c>
      <c r="D3" t="str">
        <f>I3b_orig!A3</f>
        <v>Dag</v>
      </c>
      <c r="E3">
        <f>I3b_orig!B3</f>
        <v>-5.9093502861091232E-2</v>
      </c>
      <c r="G3" s="1">
        <f t="shared" ref="G3:G30" si="0">B3-E3</f>
        <v>-6.9388939039072284E-17</v>
      </c>
    </row>
    <row r="4" spans="1:7" x14ac:dyDescent="0.2">
      <c r="A4" t="str">
        <f>I3b!A4</f>
        <v>eduHighestC4High</v>
      </c>
      <c r="B4">
        <f>I3b!B4</f>
        <v>0.86976753881183921</v>
      </c>
      <c r="D4" t="str">
        <f>I3b_orig!A4</f>
        <v>Deh_c4_High</v>
      </c>
      <c r="E4">
        <f>I3b_orig!B4</f>
        <v>0.86976753881182045</v>
      </c>
      <c r="G4" s="1">
        <f t="shared" si="0"/>
        <v>1.8762769116165146E-14</v>
      </c>
    </row>
    <row r="5" spans="1:7" x14ac:dyDescent="0.2">
      <c r="A5" t="str">
        <f>I3b!A5</f>
        <v>eduHighestC4Medium</v>
      </c>
      <c r="B5">
        <f>I3b!B5</f>
        <v>0.45277276905338504</v>
      </c>
      <c r="D5" t="str">
        <f>I3b_orig!A5</f>
        <v>Deh_c4_Medium</v>
      </c>
      <c r="E5">
        <f>I3b_orig!B5</f>
        <v>0.45277276905336844</v>
      </c>
      <c r="G5" s="1">
        <f t="shared" si="0"/>
        <v>1.659783421814609E-14</v>
      </c>
    </row>
    <row r="6" spans="1:7" x14ac:dyDescent="0.2">
      <c r="A6" t="str">
        <f>I3b!A6</f>
        <v>labStatusC4NotEmployedL1</v>
      </c>
      <c r="B6">
        <f>I3b!B6</f>
        <v>-0.45637809062650714</v>
      </c>
      <c r="D6" t="str">
        <f>I3b_orig!A6</f>
        <v>Les_c4_NotEmployed_L1</v>
      </c>
      <c r="E6">
        <f>I3b_orig!B6</f>
        <v>-0.45637809062651252</v>
      </c>
      <c r="G6" s="1">
        <f t="shared" si="0"/>
        <v>5.3845816694320092E-15</v>
      </c>
    </row>
    <row r="7" spans="1:7" x14ac:dyDescent="0.2">
      <c r="A7" t="str">
        <f>I3b!A7</f>
        <v>demCompHhC4CoupleChL1</v>
      </c>
      <c r="B7">
        <f>I3b!B7</f>
        <v>-0.14248881487916482</v>
      </c>
      <c r="D7" t="str">
        <f>I3b_orig!A7</f>
        <v>Dhhtp_c4_CoupleChildren_L1</v>
      </c>
      <c r="E7">
        <f>I3b_orig!B7</f>
        <v>-0.14248881487916507</v>
      </c>
      <c r="G7" s="1">
        <f t="shared" si="0"/>
        <v>2.4980018054066022E-16</v>
      </c>
    </row>
    <row r="8" spans="1:7" x14ac:dyDescent="0.2">
      <c r="A8" t="str">
        <f>I3b!A8</f>
        <v>demCompHhC4SingleNoChL1</v>
      </c>
      <c r="B8">
        <f>I3b!B8</f>
        <v>2.7057424237759302E-2</v>
      </c>
      <c r="D8" t="str">
        <f>I3b_orig!A8</f>
        <v>Dhhtp_c4_SingleNoChildren_L1</v>
      </c>
      <c r="E8">
        <f>I3b_orig!B8</f>
        <v>2.7057424237756016E-2</v>
      </c>
      <c r="G8" s="1">
        <f t="shared" si="0"/>
        <v>3.2855662635000726E-15</v>
      </c>
    </row>
    <row r="9" spans="1:7" x14ac:dyDescent="0.2">
      <c r="A9" t="str">
        <f>I3b!A9</f>
        <v>demCompHhC4SingleChL1</v>
      </c>
      <c r="B9">
        <f>I3b!B9</f>
        <v>-0.23594699405073297</v>
      </c>
      <c r="D9" t="str">
        <f>I3b_orig!A9</f>
        <v>Dhhtp_c4_SingleChildren_L1</v>
      </c>
      <c r="E9">
        <f>I3b_orig!B9</f>
        <v>-0.23594699405073369</v>
      </c>
      <c r="G9" s="1">
        <f t="shared" si="0"/>
        <v>7.2164496600635175E-16</v>
      </c>
    </row>
    <row r="10" spans="1:7" x14ac:dyDescent="0.2">
      <c r="A10" t="str">
        <f>I3b!A10</f>
        <v>healthPhysicalPcsL1</v>
      </c>
      <c r="B10">
        <f>I3b!B10</f>
        <v>1.262671174273345E-2</v>
      </c>
      <c r="D10" t="str">
        <f>I3b_orig!A10</f>
        <v>Dhe_pcs_L1</v>
      </c>
      <c r="E10">
        <f>I3b_orig!B10</f>
        <v>1.2626711742733424E-2</v>
      </c>
      <c r="G10" s="1">
        <f t="shared" si="0"/>
        <v>2.6020852139652106E-17</v>
      </c>
    </row>
    <row r="11" spans="1:7" x14ac:dyDescent="0.2">
      <c r="A11" t="str">
        <f>I3b!A11</f>
        <v>healthMentalMcsL1</v>
      </c>
      <c r="B11">
        <f>I3b!B11</f>
        <v>2.6813621692083627E-3</v>
      </c>
      <c r="D11" t="str">
        <f>I3b_orig!A11</f>
        <v>Dhe_mcs_L1</v>
      </c>
      <c r="E11">
        <f>I3b_orig!B11</f>
        <v>2.6813621692083319E-3</v>
      </c>
      <c r="G11" s="1">
        <f t="shared" si="0"/>
        <v>3.0791341698588326E-17</v>
      </c>
    </row>
    <row r="12" spans="1:7" x14ac:dyDescent="0.2">
      <c r="A12" t="str">
        <f>I3b!A12</f>
        <v>labWageHrlyLogL1</v>
      </c>
      <c r="B12">
        <f>I3b!B12</f>
        <v>2.5785150603619663E-3</v>
      </c>
      <c r="D12" t="str">
        <f>I3b_orig!A12</f>
        <v>Hourly_wage_L1</v>
      </c>
      <c r="E12">
        <f>I3b_orig!B12</f>
        <v>2.5785150603620994E-3</v>
      </c>
      <c r="G12" s="1">
        <f t="shared" si="0"/>
        <v>-1.3314002678121994E-16</v>
      </c>
    </row>
    <row r="13" spans="1:7" x14ac:dyDescent="0.2">
      <c r="A13" t="str">
        <f>I3b!A13</f>
        <v>demRgnUKC</v>
      </c>
      <c r="B13">
        <f>I3b!B13</f>
        <v>-0.10610904360929659</v>
      </c>
      <c r="D13" t="str">
        <f>I3b_orig!A13</f>
        <v>demRgnUKC</v>
      </c>
      <c r="E13">
        <f>I3b_orig!B13</f>
        <v>-0.10610904360929491</v>
      </c>
      <c r="G13" s="1">
        <f t="shared" si="0"/>
        <v>-1.6792123247455493E-15</v>
      </c>
    </row>
    <row r="14" spans="1:7" x14ac:dyDescent="0.2">
      <c r="A14" t="str">
        <f>I3b!A14</f>
        <v>demRgnUKD</v>
      </c>
      <c r="B14">
        <f>I3b!B14</f>
        <v>-2.4184467503940792E-3</v>
      </c>
      <c r="D14" t="str">
        <f>I3b_orig!A14</f>
        <v>demRgnUKD</v>
      </c>
      <c r="E14">
        <f>I3b_orig!B14</f>
        <v>-2.4184467503917751E-3</v>
      </c>
      <c r="G14" s="1">
        <f t="shared" si="0"/>
        <v>-2.304146456966194E-15</v>
      </c>
    </row>
    <row r="15" spans="1:7" x14ac:dyDescent="0.2">
      <c r="A15" t="str">
        <f>I3b!A15</f>
        <v>demRgnUKE</v>
      </c>
      <c r="B15">
        <f>I3b!B15</f>
        <v>-0.13100128005291317</v>
      </c>
      <c r="D15" t="str">
        <f>I3b_orig!A15</f>
        <v>demRgnUKE</v>
      </c>
      <c r="E15">
        <f>I3b_orig!B15</f>
        <v>-0.13100128005291348</v>
      </c>
      <c r="G15" s="1">
        <f t="shared" si="0"/>
        <v>3.0531133177191805E-16</v>
      </c>
    </row>
    <row r="16" spans="1:7" x14ac:dyDescent="0.2">
      <c r="A16" t="str">
        <f>I3b!A16</f>
        <v>demRgnUKF</v>
      </c>
      <c r="B16">
        <f>I3b!B16</f>
        <v>-7.9957797720011409E-2</v>
      </c>
      <c r="D16" t="str">
        <f>I3b_orig!A16</f>
        <v>demRgnUKF</v>
      </c>
      <c r="E16">
        <f>I3b_orig!B16</f>
        <v>-7.9957797720009979E-2</v>
      </c>
      <c r="G16" s="1">
        <f t="shared" si="0"/>
        <v>-1.429412144204889E-15</v>
      </c>
    </row>
    <row r="17" spans="1:7" x14ac:dyDescent="0.2">
      <c r="A17" t="str">
        <f>I3b!A17</f>
        <v>demRgnUKG</v>
      </c>
      <c r="B17">
        <f>I3b!B17</f>
        <v>-7.2758658035883508E-2</v>
      </c>
      <c r="D17" t="str">
        <f>I3b_orig!A17</f>
        <v>demRgnUKG</v>
      </c>
      <c r="E17">
        <f>I3b_orig!B17</f>
        <v>-7.2758658035883647E-2</v>
      </c>
      <c r="G17" s="1">
        <f t="shared" si="0"/>
        <v>1.3877787807814457E-16</v>
      </c>
    </row>
    <row r="18" spans="1:7" x14ac:dyDescent="0.2">
      <c r="A18" t="str">
        <f>I3b!A18</f>
        <v>demRgnUKH</v>
      </c>
      <c r="B18">
        <f>I3b!B18</f>
        <v>-0.14899069392355427</v>
      </c>
      <c r="D18" t="str">
        <f>I3b_orig!A18</f>
        <v>demRgnUKH</v>
      </c>
      <c r="E18">
        <f>I3b_orig!B18</f>
        <v>-0.14899069392355341</v>
      </c>
      <c r="G18" s="1">
        <f t="shared" si="0"/>
        <v>-8.6042284408449632E-16</v>
      </c>
    </row>
    <row r="19" spans="1:7" x14ac:dyDescent="0.2">
      <c r="A19" t="str">
        <f>I3b!A19</f>
        <v>demRgnUKJ</v>
      </c>
      <c r="B19">
        <f>I3b!B19</f>
        <v>2.9727455610690386E-3</v>
      </c>
      <c r="D19" t="str">
        <f>I3b_orig!A19</f>
        <v>demRgnUKJ</v>
      </c>
      <c r="E19">
        <f>I3b_orig!B19</f>
        <v>2.9727455610699359E-3</v>
      </c>
      <c r="G19" s="1">
        <f t="shared" si="0"/>
        <v>-8.9728571794900347E-16</v>
      </c>
    </row>
    <row r="20" spans="1:7" x14ac:dyDescent="0.2">
      <c r="A20" t="str">
        <f>I3b!A20</f>
        <v>demRgnUKK</v>
      </c>
      <c r="B20">
        <f>I3b!B20</f>
        <v>-0.14997576006747992</v>
      </c>
      <c r="D20" t="str">
        <f>I3b_orig!A20</f>
        <v>demRgnUKK</v>
      </c>
      <c r="E20">
        <f>I3b_orig!B20</f>
        <v>-0.14997576006747881</v>
      </c>
      <c r="G20" s="1">
        <f t="shared" si="0"/>
        <v>-1.1102230246251565E-15</v>
      </c>
    </row>
    <row r="21" spans="1:7" x14ac:dyDescent="0.2">
      <c r="A21" t="str">
        <f>I3b!A21</f>
        <v>demRgnUKL</v>
      </c>
      <c r="B21">
        <f>I3b!B21</f>
        <v>-0.14448430860809575</v>
      </c>
      <c r="D21" t="str">
        <f>I3b_orig!A21</f>
        <v>demRgnUKL</v>
      </c>
      <c r="E21">
        <f>I3b_orig!B21</f>
        <v>-0.14448430860809436</v>
      </c>
      <c r="G21" s="1">
        <f t="shared" si="0"/>
        <v>-1.3877787807814457E-15</v>
      </c>
    </row>
    <row r="22" spans="1:7" x14ac:dyDescent="0.2">
      <c r="A22" t="str">
        <f>I3b!A22</f>
        <v>demRgnUKM</v>
      </c>
      <c r="B22">
        <f>I3b!B22</f>
        <v>-0.15761629018509019</v>
      </c>
      <c r="D22" t="str">
        <f>I3b_orig!A22</f>
        <v>demRgnUKM</v>
      </c>
      <c r="E22">
        <f>I3b_orig!B22</f>
        <v>-0.15761629018508838</v>
      </c>
      <c r="G22" s="1">
        <f t="shared" si="0"/>
        <v>-1.8041124150158794E-15</v>
      </c>
    </row>
    <row r="23" spans="1:7" x14ac:dyDescent="0.2">
      <c r="A23" t="str">
        <f>I3b!A23</f>
        <v>demRgnUKN</v>
      </c>
      <c r="B23">
        <f>I3b!B23</f>
        <v>8.6701746825162657E-2</v>
      </c>
      <c r="D23" t="str">
        <f>I3b_orig!A23</f>
        <v>demRgnUKN</v>
      </c>
      <c r="E23">
        <f>I3b_orig!B23</f>
        <v>8.6701746825163462E-2</v>
      </c>
      <c r="G23" s="1">
        <f t="shared" si="0"/>
        <v>-8.0491169285323849E-16</v>
      </c>
    </row>
    <row r="24" spans="1:7" x14ac:dyDescent="0.2">
      <c r="A24" t="str">
        <f>I3b!A24</f>
        <v>demYearTransformed</v>
      </c>
      <c r="B24">
        <f>I3b!B24</f>
        <v>4.4739101958899598E-3</v>
      </c>
      <c r="D24" t="str">
        <f>I3b_orig!A24</f>
        <v>Year_transformed</v>
      </c>
      <c r="E24">
        <f>I3b_orig!B24</f>
        <v>4.4739101958901689E-3</v>
      </c>
      <c r="G24" s="1">
        <f t="shared" si="0"/>
        <v>-2.0903417885520525E-16</v>
      </c>
    </row>
    <row r="25" spans="1:7" x14ac:dyDescent="0.2">
      <c r="A25" t="str">
        <f>I3b!A25</f>
        <v>demYear2020</v>
      </c>
      <c r="B25">
        <f>I3b!B25</f>
        <v>6.561297255069308E-2</v>
      </c>
      <c r="D25" t="str">
        <f>I3b_orig!A25</f>
        <v>Y2020</v>
      </c>
      <c r="E25">
        <f>I3b_orig!B25</f>
        <v>6.5612972550692927E-2</v>
      </c>
      <c r="G25" s="1">
        <f t="shared" si="0"/>
        <v>1.5265566588595902E-16</v>
      </c>
    </row>
    <row r="26" spans="1:7" x14ac:dyDescent="0.2">
      <c r="A26" t="str">
        <f>I3b!A26</f>
        <v>demYear2021</v>
      </c>
      <c r="B26">
        <f>I3b!B26</f>
        <v>2.5110521985118603E-3</v>
      </c>
      <c r="D26" t="str">
        <f>I3b_orig!A26</f>
        <v>Y2021</v>
      </c>
      <c r="E26">
        <f>I3b_orig!B26</f>
        <v>2.5110521985122329E-3</v>
      </c>
      <c r="G26" s="1">
        <f t="shared" si="0"/>
        <v>-3.7253186646601932E-16</v>
      </c>
    </row>
    <row r="27" spans="1:7" x14ac:dyDescent="0.2">
      <c r="A27" t="str">
        <f>I3b!A27</f>
        <v>demEthnC4Asian</v>
      </c>
      <c r="B27">
        <f>I3b!B27</f>
        <v>7.3592577820670076E-3</v>
      </c>
      <c r="D27" t="str">
        <f>I3b_orig!A27</f>
        <v>demEthnC4Asian</v>
      </c>
      <c r="E27">
        <f>I3b_orig!B27</f>
        <v>7.3592577820675853E-3</v>
      </c>
      <c r="G27" s="1">
        <f t="shared" si="0"/>
        <v>-5.7766291750027676E-16</v>
      </c>
    </row>
    <row r="28" spans="1:7" x14ac:dyDescent="0.2">
      <c r="A28" t="str">
        <f>I3b!A28</f>
        <v>demEthnC4Black</v>
      </c>
      <c r="B28">
        <f>I3b!B28</f>
        <v>-0.23098139711622587</v>
      </c>
      <c r="D28" t="str">
        <f>I3b_orig!A28</f>
        <v>demEthnC4Black</v>
      </c>
      <c r="E28">
        <f>I3b_orig!B28</f>
        <v>-0.23098139711622473</v>
      </c>
      <c r="G28" s="1">
        <f t="shared" si="0"/>
        <v>-1.1379786002407855E-15</v>
      </c>
    </row>
    <row r="29" spans="1:7" x14ac:dyDescent="0.2">
      <c r="A29" t="str">
        <f>I3b!A29</f>
        <v>demEthnC4Other</v>
      </c>
      <c r="B29">
        <f>I3b!B29</f>
        <v>-5.1366166357260752E-3</v>
      </c>
      <c r="D29" t="str">
        <f>I3b_orig!A29</f>
        <v>demEthnC4Other</v>
      </c>
      <c r="E29">
        <f>I3b_orig!B29</f>
        <v>-5.1366166357243665E-3</v>
      </c>
      <c r="G29" s="1">
        <f t="shared" si="0"/>
        <v>-1.708702623837155E-15</v>
      </c>
    </row>
    <row r="30" spans="1:7" x14ac:dyDescent="0.2">
      <c r="A30" t="str">
        <f>I3b!A30</f>
        <v>Constant</v>
      </c>
      <c r="B30">
        <f>I3b!B30</f>
        <v>9.1092833095279087</v>
      </c>
      <c r="D30" t="str">
        <f>I3b_orig!A30</f>
        <v>Constant</v>
      </c>
      <c r="E30">
        <f>I3b_orig!B30</f>
        <v>9.1092833095279175</v>
      </c>
      <c r="G30" s="1">
        <f t="shared" si="0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0"/>
  <sheetViews>
    <sheetView workbookViewId="0"/>
  </sheetViews>
  <sheetFormatPr baseColWidth="10" defaultColWidth="8.83203125" defaultRowHeight="15" x14ac:dyDescent="0.2"/>
  <sheetData>
    <row r="1" spans="1:2" x14ac:dyDescent="0.2">
      <c r="A1" s="3" t="s">
        <v>0</v>
      </c>
      <c r="B1" t="s">
        <v>1</v>
      </c>
    </row>
    <row r="2" spans="1:2" x14ac:dyDescent="0.2">
      <c r="A2" t="s">
        <v>2</v>
      </c>
      <c r="B2" t="s">
        <v>63</v>
      </c>
    </row>
    <row r="3" spans="1:2" x14ac:dyDescent="0.2">
      <c r="A3" t="s">
        <v>64</v>
      </c>
    </row>
    <row r="5" spans="1:2" x14ac:dyDescent="0.2">
      <c r="A5" s="4" t="s">
        <v>3</v>
      </c>
      <c r="B5" s="5" t="s">
        <v>0</v>
      </c>
    </row>
    <row r="7" spans="1:2" x14ac:dyDescent="0.2">
      <c r="A7" t="s">
        <v>4</v>
      </c>
      <c r="B7" t="s">
        <v>5</v>
      </c>
    </row>
    <row r="8" spans="1:2" x14ac:dyDescent="0.2">
      <c r="A8" t="s">
        <v>6</v>
      </c>
      <c r="B8" t="s">
        <v>7</v>
      </c>
    </row>
    <row r="9" spans="1:2" x14ac:dyDescent="0.2">
      <c r="A9" t="s">
        <v>8</v>
      </c>
      <c r="B9" t="s">
        <v>9</v>
      </c>
    </row>
    <row r="10" spans="1:2" x14ac:dyDescent="0.2">
      <c r="A10" t="s">
        <v>10</v>
      </c>
      <c r="B10" t="s">
        <v>11</v>
      </c>
    </row>
    <row r="11" spans="1:2" x14ac:dyDescent="0.2">
      <c r="A11" t="s">
        <v>12</v>
      </c>
      <c r="B11" t="s">
        <v>9</v>
      </c>
    </row>
    <row r="17" spans="1:2" x14ac:dyDescent="0.2">
      <c r="A17" s="6" t="s">
        <v>13</v>
      </c>
      <c r="B17" t="s">
        <v>14</v>
      </c>
    </row>
    <row r="18" spans="1:2" x14ac:dyDescent="0.2">
      <c r="B18" t="s">
        <v>15</v>
      </c>
    </row>
    <row r="19" spans="1:2" x14ac:dyDescent="0.2">
      <c r="B19" t="s">
        <v>16</v>
      </c>
    </row>
    <row r="20" spans="1:2" x14ac:dyDescent="0.2">
      <c r="B20" t="s">
        <v>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1"/>
  <sheetViews>
    <sheetView workbookViewId="0"/>
  </sheetViews>
  <sheetFormatPr baseColWidth="10" defaultColWidth="8.83203125" defaultRowHeight="15" x14ac:dyDescent="0.2"/>
  <sheetData>
    <row r="1" spans="1:6" x14ac:dyDescent="0.2">
      <c r="A1" s="7" t="s">
        <v>18</v>
      </c>
    </row>
    <row r="3" spans="1:6" x14ac:dyDescent="0.2">
      <c r="A3" s="8" t="s">
        <v>48</v>
      </c>
    </row>
    <row r="4" spans="1:6" x14ac:dyDescent="0.2">
      <c r="A4" t="s">
        <v>49</v>
      </c>
      <c r="B4">
        <v>0.29340170370852758</v>
      </c>
      <c r="E4" t="s">
        <v>51</v>
      </c>
      <c r="F4">
        <v>26802.848372402768</v>
      </c>
    </row>
    <row r="5" spans="1:6" x14ac:dyDescent="0.2">
      <c r="A5" t="s">
        <v>50</v>
      </c>
      <c r="B5">
        <v>267326</v>
      </c>
      <c r="E5" t="s">
        <v>52</v>
      </c>
      <c r="F5">
        <v>-102691190.73627079</v>
      </c>
    </row>
    <row r="7" spans="1:6" x14ac:dyDescent="0.2">
      <c r="A7" s="9" t="s">
        <v>54</v>
      </c>
    </row>
    <row r="8" spans="1:6" x14ac:dyDescent="0.2">
      <c r="A8" t="s">
        <v>55</v>
      </c>
      <c r="B8">
        <v>0.34112606845987592</v>
      </c>
    </row>
    <row r="9" spans="1:6" x14ac:dyDescent="0.2">
      <c r="A9" t="s">
        <v>50</v>
      </c>
      <c r="B9">
        <v>113735</v>
      </c>
    </row>
    <row r="11" spans="1:6" x14ac:dyDescent="0.2">
      <c r="A11" s="11" t="s">
        <v>58</v>
      </c>
    </row>
    <row r="12" spans="1:6" x14ac:dyDescent="0.2">
      <c r="A12" t="s">
        <v>55</v>
      </c>
      <c r="B12">
        <v>0.43389448276835063</v>
      </c>
    </row>
    <row r="13" spans="1:6" x14ac:dyDescent="0.2">
      <c r="A13" t="s">
        <v>50</v>
      </c>
      <c r="B13">
        <v>56460</v>
      </c>
    </row>
    <row r="15" spans="1:6" x14ac:dyDescent="0.2">
      <c r="A15" s="10" t="s">
        <v>61</v>
      </c>
    </row>
    <row r="16" spans="1:6" x14ac:dyDescent="0.2">
      <c r="A16" t="s">
        <v>49</v>
      </c>
      <c r="B16">
        <v>9.2207591741821027E-2</v>
      </c>
      <c r="E16" t="s">
        <v>51</v>
      </c>
      <c r="F16">
        <v>354.64953691454929</v>
      </c>
    </row>
    <row r="17" spans="1:6" x14ac:dyDescent="0.2">
      <c r="A17" t="s">
        <v>50</v>
      </c>
      <c r="B17">
        <v>4843</v>
      </c>
      <c r="E17" t="s">
        <v>52</v>
      </c>
      <c r="F17">
        <v>-2266083.1489335136</v>
      </c>
    </row>
    <row r="19" spans="1:6" x14ac:dyDescent="0.2">
      <c r="A19" s="2" t="s">
        <v>62</v>
      </c>
    </row>
    <row r="20" spans="1:6" x14ac:dyDescent="0.2">
      <c r="A20" t="s">
        <v>55</v>
      </c>
      <c r="B20">
        <v>0.24828659239977113</v>
      </c>
    </row>
    <row r="21" spans="1:6" x14ac:dyDescent="0.2">
      <c r="A21" t="s">
        <v>50</v>
      </c>
      <c r="B21">
        <v>2910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Q42"/>
  <sheetViews>
    <sheetView workbookViewId="0"/>
  </sheetViews>
  <sheetFormatPr baseColWidth="10" defaultColWidth="8.83203125" defaultRowHeight="15" x14ac:dyDescent="0.2"/>
  <sheetData>
    <row r="1" spans="1:43" x14ac:dyDescent="0.2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  <c r="R1" t="s">
        <v>36</v>
      </c>
      <c r="S1" t="s">
        <v>37</v>
      </c>
      <c r="T1" t="s">
        <v>38</v>
      </c>
      <c r="U1" t="s">
        <v>39</v>
      </c>
      <c r="V1" t="s">
        <v>40</v>
      </c>
      <c r="W1" t="s">
        <v>41</v>
      </c>
      <c r="X1" t="s">
        <v>42</v>
      </c>
      <c r="Y1" t="s">
        <v>43</v>
      </c>
      <c r="Z1" t="s">
        <v>85</v>
      </c>
      <c r="AA1" t="s">
        <v>86</v>
      </c>
      <c r="AB1" t="s">
        <v>87</v>
      </c>
      <c r="AC1" t="s">
        <v>88</v>
      </c>
      <c r="AD1" t="s">
        <v>89</v>
      </c>
      <c r="AE1" t="s">
        <v>90</v>
      </c>
      <c r="AF1" t="s">
        <v>91</v>
      </c>
      <c r="AG1" t="s">
        <v>92</v>
      </c>
      <c r="AH1" t="s">
        <v>93</v>
      </c>
      <c r="AI1" t="s">
        <v>94</v>
      </c>
      <c r="AJ1" t="s">
        <v>95</v>
      </c>
      <c r="AK1" t="s">
        <v>44</v>
      </c>
      <c r="AL1" t="s">
        <v>45</v>
      </c>
      <c r="AM1" t="s">
        <v>46</v>
      </c>
      <c r="AN1" t="s">
        <v>98</v>
      </c>
      <c r="AO1" t="s">
        <v>99</v>
      </c>
      <c r="AP1" t="s">
        <v>100</v>
      </c>
      <c r="AQ1" t="s">
        <v>47</v>
      </c>
    </row>
    <row r="2" spans="1:43" x14ac:dyDescent="0.2">
      <c r="A2" t="s">
        <v>21</v>
      </c>
      <c r="B2">
        <v>0.2142072525660092</v>
      </c>
      <c r="C2">
        <v>5.5006250353348734E-3</v>
      </c>
      <c r="D2">
        <v>1.0437531565026431E-4</v>
      </c>
      <c r="E2">
        <v>1.1381083108715304E-5</v>
      </c>
      <c r="F2">
        <v>-1.1376511761774935E-7</v>
      </c>
      <c r="G2">
        <v>1.6855851282158859E-6</v>
      </c>
      <c r="H2">
        <v>-1.4793554993373946E-8</v>
      </c>
      <c r="I2">
        <v>1.9212086061751241E-6</v>
      </c>
      <c r="J2">
        <v>1.5108493287795402E-5</v>
      </c>
      <c r="K2">
        <v>7.44115519237643E-7</v>
      </c>
      <c r="L2">
        <v>1.7812894015626935E-6</v>
      </c>
      <c r="M2">
        <v>-2.1249839681255975E-3</v>
      </c>
      <c r="N2">
        <v>-3.7443760037623583E-5</v>
      </c>
      <c r="O2">
        <v>-1.795159029765831E-5</v>
      </c>
      <c r="P2">
        <v>-2.3320289427710457E-6</v>
      </c>
      <c r="Q2">
        <v>5.30719937770596E-6</v>
      </c>
      <c r="R2">
        <v>2.3953949626976257E-4</v>
      </c>
      <c r="S2">
        <v>2.725459988840889E-4</v>
      </c>
      <c r="T2">
        <v>-2.906965866680605E-5</v>
      </c>
      <c r="U2">
        <v>9.494905878414147E-5</v>
      </c>
      <c r="V2">
        <v>1.255927325037019E-4</v>
      </c>
      <c r="W2">
        <v>-4.6086985101988832E-5</v>
      </c>
      <c r="X2">
        <v>6.3737241146658919E-5</v>
      </c>
      <c r="Y2">
        <v>-7.8446208379858833E-5</v>
      </c>
      <c r="Z2">
        <v>-1.1421268311126803E-4</v>
      </c>
      <c r="AA2">
        <v>-7.1157356876327992E-5</v>
      </c>
      <c r="AB2">
        <v>-9.5827275323271793E-5</v>
      </c>
      <c r="AC2">
        <v>-7.5239724229961161E-5</v>
      </c>
      <c r="AD2">
        <v>-9.2088124658900244E-5</v>
      </c>
      <c r="AE2">
        <v>-1.0053749928422593E-4</v>
      </c>
      <c r="AF2">
        <v>-7.2673065498201115E-5</v>
      </c>
      <c r="AG2">
        <v>-8.2670601835320125E-5</v>
      </c>
      <c r="AH2">
        <v>-9.8637385516058581E-5</v>
      </c>
      <c r="AI2">
        <v>-8.7011230736955215E-5</v>
      </c>
      <c r="AJ2">
        <v>-8.8532193210758589E-5</v>
      </c>
      <c r="AK2">
        <v>2.1242777674440372E-6</v>
      </c>
      <c r="AL2">
        <v>4.5934602093945255E-5</v>
      </c>
      <c r="AM2">
        <v>2.0112865410952718E-5</v>
      </c>
      <c r="AN2">
        <v>-3.796897470848321E-5</v>
      </c>
      <c r="AO2">
        <v>-4.4799440791595379E-5</v>
      </c>
      <c r="AP2">
        <v>1.4140824607312849E-5</v>
      </c>
      <c r="AQ2">
        <v>-6.6964332591376628E-4</v>
      </c>
    </row>
    <row r="3" spans="1:43" x14ac:dyDescent="0.2">
      <c r="A3" t="s">
        <v>22</v>
      </c>
      <c r="B3">
        <v>-5.6755812572368752E-2</v>
      </c>
      <c r="C3">
        <v>1.0437531565026431E-4</v>
      </c>
      <c r="D3">
        <v>2.6559534608232445E-4</v>
      </c>
      <c r="E3">
        <v>2.3942156078616937E-6</v>
      </c>
      <c r="F3">
        <v>-2.2430029866584727E-8</v>
      </c>
      <c r="G3">
        <v>-2.8477599252087916E-7</v>
      </c>
      <c r="H3">
        <v>-9.3725360205817978E-7</v>
      </c>
      <c r="I3">
        <v>-2.3937802780963285E-6</v>
      </c>
      <c r="J3">
        <v>-3.0704306378983194E-5</v>
      </c>
      <c r="K3">
        <v>-1.9048570566781268E-6</v>
      </c>
      <c r="L3">
        <v>-2.7785157888669503E-6</v>
      </c>
      <c r="M3">
        <v>-2.4540017160883717E-4</v>
      </c>
      <c r="N3">
        <v>-2.2482875971778459E-7</v>
      </c>
      <c r="O3">
        <v>-1.1886240941897516E-7</v>
      </c>
      <c r="P3">
        <v>6.8650970899333859E-7</v>
      </c>
      <c r="Q3">
        <v>5.7708739240658847E-7</v>
      </c>
      <c r="R3">
        <v>-1.4602148437459861E-5</v>
      </c>
      <c r="S3">
        <v>-1.8426353221951989E-5</v>
      </c>
      <c r="T3">
        <v>-2.2591876285569558E-4</v>
      </c>
      <c r="U3">
        <v>-2.2909428696215071E-4</v>
      </c>
      <c r="V3">
        <v>-2.2585382704660889E-4</v>
      </c>
      <c r="W3">
        <v>-2.0338289713813724E-6</v>
      </c>
      <c r="X3">
        <v>2.5054274623650685E-5</v>
      </c>
      <c r="Y3">
        <v>7.9156897697050402E-5</v>
      </c>
      <c r="Z3">
        <v>-1.8098109258705573E-7</v>
      </c>
      <c r="AA3">
        <v>9.1584062679809093E-7</v>
      </c>
      <c r="AB3">
        <v>1.3378983637401328E-6</v>
      </c>
      <c r="AC3">
        <v>-6.1549162901485964E-6</v>
      </c>
      <c r="AD3">
        <v>-8.3535787507947991E-7</v>
      </c>
      <c r="AE3">
        <v>-7.1303797812885517E-6</v>
      </c>
      <c r="AF3">
        <v>1.7914994149039598E-6</v>
      </c>
      <c r="AG3">
        <v>7.4404253120500337E-7</v>
      </c>
      <c r="AH3">
        <v>-2.1933938398755045E-6</v>
      </c>
      <c r="AI3">
        <v>-3.7691569786729777E-6</v>
      </c>
      <c r="AJ3">
        <v>-1.9807470213309474E-5</v>
      </c>
      <c r="AK3">
        <v>-3.1387158172319483E-7</v>
      </c>
      <c r="AL3">
        <v>9.9054124717521078E-7</v>
      </c>
      <c r="AM3">
        <v>4.1628249799548376E-6</v>
      </c>
      <c r="AN3">
        <v>1.3091236096190369E-5</v>
      </c>
      <c r="AO3">
        <v>-2.2210525684468983E-5</v>
      </c>
      <c r="AP3">
        <v>-1.2024614163155234E-5</v>
      </c>
      <c r="AQ3">
        <v>1.4698695378514417E-4</v>
      </c>
    </row>
    <row r="4" spans="1:43" x14ac:dyDescent="0.2">
      <c r="A4" t="s">
        <v>23</v>
      </c>
      <c r="B4">
        <v>-1.4317051818452607E-2</v>
      </c>
      <c r="C4">
        <v>1.1381083108715304E-5</v>
      </c>
      <c r="D4">
        <v>2.3942156078616937E-6</v>
      </c>
      <c r="E4">
        <v>7.3429199876262396E-6</v>
      </c>
      <c r="F4">
        <v>-6.798000098918926E-8</v>
      </c>
      <c r="G4">
        <v>4.0355518499763911E-8</v>
      </c>
      <c r="H4">
        <v>2.9378808215830539E-8</v>
      </c>
      <c r="I4">
        <v>-6.2259647238554948E-7</v>
      </c>
      <c r="J4">
        <v>-1.9567822429412817E-6</v>
      </c>
      <c r="K4">
        <v>-1.7064950632759564E-6</v>
      </c>
      <c r="L4">
        <v>-6.8573771924086841E-7</v>
      </c>
      <c r="M4">
        <v>-3.3013537758753374E-6</v>
      </c>
      <c r="N4">
        <v>2.3086369990240298E-7</v>
      </c>
      <c r="O4">
        <v>1.6157240396915563E-8</v>
      </c>
      <c r="P4">
        <v>-1.456178185101348E-6</v>
      </c>
      <c r="Q4">
        <v>1.6012757025187979E-6</v>
      </c>
      <c r="R4">
        <v>1.4529090714040564E-6</v>
      </c>
      <c r="S4">
        <v>3.857722529017804E-8</v>
      </c>
      <c r="T4">
        <v>1.4331692953605611E-5</v>
      </c>
      <c r="U4">
        <v>-1.9662884312805365E-5</v>
      </c>
      <c r="V4">
        <v>-1.3674085585802529E-5</v>
      </c>
      <c r="W4">
        <v>4.6946302475938015E-6</v>
      </c>
      <c r="X4">
        <v>1.4166432687259661E-5</v>
      </c>
      <c r="Y4">
        <v>8.909276583961943E-6</v>
      </c>
      <c r="Z4">
        <v>-1.5545961291235958E-6</v>
      </c>
      <c r="AA4">
        <v>3.4846522937060243E-7</v>
      </c>
      <c r="AB4">
        <v>9.6370427077865559E-7</v>
      </c>
      <c r="AC4">
        <v>4.9853983264366207E-7</v>
      </c>
      <c r="AD4">
        <v>8.3669657005956422E-7</v>
      </c>
      <c r="AE4">
        <v>5.8390579298516398E-7</v>
      </c>
      <c r="AF4">
        <v>-9.6135341552733891E-8</v>
      </c>
      <c r="AG4">
        <v>-8.0639143352933987E-7</v>
      </c>
      <c r="AH4">
        <v>-1.2564621899474094E-7</v>
      </c>
      <c r="AI4">
        <v>-2.320453648360147E-6</v>
      </c>
      <c r="AJ4">
        <v>-2.457874486519934E-6</v>
      </c>
      <c r="AK4">
        <v>-2.5931505466096096E-7</v>
      </c>
      <c r="AL4">
        <v>3.9590799239694068E-7</v>
      </c>
      <c r="AM4">
        <v>4.9511357453974976E-7</v>
      </c>
      <c r="AN4">
        <v>3.5687114899854075E-7</v>
      </c>
      <c r="AO4">
        <v>-6.7379392740660909E-6</v>
      </c>
      <c r="AP4">
        <v>-2.1148259407569435E-6</v>
      </c>
      <c r="AQ4">
        <v>-1.5701556593523153E-4</v>
      </c>
    </row>
    <row r="5" spans="1:43" x14ac:dyDescent="0.2">
      <c r="A5" t="s">
        <v>24</v>
      </c>
      <c r="B5">
        <v>2.3304200748031279E-4</v>
      </c>
      <c r="C5">
        <v>-1.1376511761774935E-7</v>
      </c>
      <c r="D5">
        <v>-2.2430029866584727E-8</v>
      </c>
      <c r="E5">
        <v>-6.798000098918926E-8</v>
      </c>
      <c r="F5">
        <v>6.7981970889240463E-10</v>
      </c>
      <c r="G5">
        <v>7.5750406959135174E-10</v>
      </c>
      <c r="H5">
        <v>-6.3406456492029592E-10</v>
      </c>
      <c r="I5">
        <v>4.5436294816899289E-9</v>
      </c>
      <c r="J5">
        <v>1.5078994017809662E-8</v>
      </c>
      <c r="K5">
        <v>1.4617842446484214E-8</v>
      </c>
      <c r="L5">
        <v>4.2669647541956145E-9</v>
      </c>
      <c r="M5">
        <v>2.8459479566916724E-8</v>
      </c>
      <c r="N5">
        <v>-2.5353770636952124E-9</v>
      </c>
      <c r="O5">
        <v>3.7536318935293608E-10</v>
      </c>
      <c r="P5">
        <v>1.5669617265464064E-8</v>
      </c>
      <c r="Q5">
        <v>-7.4931651069714064E-9</v>
      </c>
      <c r="R5">
        <v>-5.8347910468930759E-8</v>
      </c>
      <c r="S5">
        <v>-8.6718454355547243E-9</v>
      </c>
      <c r="T5">
        <v>-9.632354138614616E-8</v>
      </c>
      <c r="U5">
        <v>1.7157724230403317E-7</v>
      </c>
      <c r="V5">
        <v>-2.7239494850294277E-8</v>
      </c>
      <c r="W5">
        <v>-1.6466297417905273E-8</v>
      </c>
      <c r="X5">
        <v>-1.2477902956495852E-7</v>
      </c>
      <c r="Y5">
        <v>-5.029148893585042E-8</v>
      </c>
      <c r="Z5">
        <v>1.3240508861792941E-8</v>
      </c>
      <c r="AA5">
        <v>-9.555898684657562E-11</v>
      </c>
      <c r="AB5">
        <v>-5.6011919665600723E-9</v>
      </c>
      <c r="AC5">
        <v>-6.8625413904168109E-10</v>
      </c>
      <c r="AD5">
        <v>-4.3068129241963713E-9</v>
      </c>
      <c r="AE5">
        <v>-5.2950621223912932E-9</v>
      </c>
      <c r="AF5">
        <v>1.7991213324540962E-9</v>
      </c>
      <c r="AG5">
        <v>3.0691215779279608E-9</v>
      </c>
      <c r="AH5">
        <v>-2.1816307332962421E-9</v>
      </c>
      <c r="AI5">
        <v>2.1199968749849463E-8</v>
      </c>
      <c r="AJ5">
        <v>1.6332819942205672E-8</v>
      </c>
      <c r="AK5">
        <v>8.8507984341698314E-10</v>
      </c>
      <c r="AL5">
        <v>-6.1246716462143556E-9</v>
      </c>
      <c r="AM5">
        <v>-8.3301074122516304E-9</v>
      </c>
      <c r="AN5">
        <v>1.3231324660933832E-8</v>
      </c>
      <c r="AO5">
        <v>5.005253319213135E-8</v>
      </c>
      <c r="AP5">
        <v>1.8985557644140674E-8</v>
      </c>
      <c r="AQ5">
        <v>1.3581346015613503E-6</v>
      </c>
    </row>
    <row r="6" spans="1:43" x14ac:dyDescent="0.2">
      <c r="A6" t="s">
        <v>25</v>
      </c>
      <c r="B6">
        <v>1.2631804357377357E-2</v>
      </c>
      <c r="C6">
        <v>1.6855851282158859E-6</v>
      </c>
      <c r="D6">
        <v>-2.8477599252087916E-7</v>
      </c>
      <c r="E6">
        <v>4.0355518499763911E-8</v>
      </c>
      <c r="F6">
        <v>7.5750406959135174E-10</v>
      </c>
      <c r="G6">
        <v>6.1042651872745716E-7</v>
      </c>
      <c r="H6">
        <v>1.4423510972814925E-9</v>
      </c>
      <c r="I6">
        <v>-7.1980908643358553E-8</v>
      </c>
      <c r="J6">
        <v>-1.070269108663906E-7</v>
      </c>
      <c r="K6">
        <v>-1.6326250513225022E-7</v>
      </c>
      <c r="L6">
        <v>-7.6820801025736477E-8</v>
      </c>
      <c r="M6">
        <v>-2.9793654134082809E-7</v>
      </c>
      <c r="N6">
        <v>-1.9223011768540963E-7</v>
      </c>
      <c r="O6">
        <v>1.743881348507893E-7</v>
      </c>
      <c r="P6">
        <v>1.4750597854822063E-7</v>
      </c>
      <c r="Q6">
        <v>4.3694212875808637E-8</v>
      </c>
      <c r="R6">
        <v>1.7976790526627732E-6</v>
      </c>
      <c r="S6">
        <v>1.0342040561933468E-6</v>
      </c>
      <c r="T6">
        <v>-3.2664790561482988E-7</v>
      </c>
      <c r="U6">
        <v>1.1344675161523501E-6</v>
      </c>
      <c r="V6">
        <v>-4.7619299849393456E-7</v>
      </c>
      <c r="W6">
        <v>1.5898011728230286E-7</v>
      </c>
      <c r="X6">
        <v>5.1253061727309355E-7</v>
      </c>
      <c r="Y6">
        <v>6.2787073448289548E-7</v>
      </c>
      <c r="Z6">
        <v>4.0309043035904691E-7</v>
      </c>
      <c r="AA6">
        <v>7.322511954747779E-7</v>
      </c>
      <c r="AB6">
        <v>9.7215629750714145E-7</v>
      </c>
      <c r="AC6">
        <v>7.6287224244805738E-7</v>
      </c>
      <c r="AD6">
        <v>7.0061153935732524E-7</v>
      </c>
      <c r="AE6">
        <v>3.8823774546338204E-7</v>
      </c>
      <c r="AF6">
        <v>-3.3776980628881994E-7</v>
      </c>
      <c r="AG6">
        <v>2.3554076066990921E-7</v>
      </c>
      <c r="AH6">
        <v>9.2887171548562485E-7</v>
      </c>
      <c r="AI6">
        <v>5.4306239848324935E-7</v>
      </c>
      <c r="AJ6">
        <v>7.8911258591165479E-7</v>
      </c>
      <c r="AK6">
        <v>1.5413710664730561E-8</v>
      </c>
      <c r="AL6">
        <v>6.6669221522396751E-8</v>
      </c>
      <c r="AM6">
        <v>-2.4469509811694049E-7</v>
      </c>
      <c r="AN6">
        <v>1.6184588828129894E-6</v>
      </c>
      <c r="AO6">
        <v>-6.2334910842260451E-7</v>
      </c>
      <c r="AP6">
        <v>-4.075456824560216E-7</v>
      </c>
      <c r="AQ6">
        <v>-3.5052312382059838E-5</v>
      </c>
    </row>
    <row r="7" spans="1:43" x14ac:dyDescent="0.2">
      <c r="A7" t="s">
        <v>26</v>
      </c>
      <c r="B7">
        <v>5.2351586427072053E-3</v>
      </c>
      <c r="C7">
        <v>-1.4793554993373946E-8</v>
      </c>
      <c r="D7">
        <v>-9.3725360205817978E-7</v>
      </c>
      <c r="E7">
        <v>2.9378808215830539E-8</v>
      </c>
      <c r="F7">
        <v>-6.3406456492029592E-10</v>
      </c>
      <c r="G7">
        <v>1.4423510972814925E-9</v>
      </c>
      <c r="H7">
        <v>6.0876461702255858E-7</v>
      </c>
      <c r="I7">
        <v>-5.0359568658971334E-8</v>
      </c>
      <c r="J7">
        <v>-6.3400724394590488E-8</v>
      </c>
      <c r="K7">
        <v>-2.9845651886386117E-8</v>
      </c>
      <c r="L7">
        <v>-1.0144016802859235E-7</v>
      </c>
      <c r="M7">
        <v>7.320183782763192E-7</v>
      </c>
      <c r="N7">
        <v>3.3470041077070274E-7</v>
      </c>
      <c r="O7">
        <v>-4.3650895609706045E-7</v>
      </c>
      <c r="P7">
        <v>9.0459599285170164E-8</v>
      </c>
      <c r="Q7">
        <v>1.7898863706988686E-7</v>
      </c>
      <c r="R7">
        <v>4.0198823116602259E-8</v>
      </c>
      <c r="S7">
        <v>-2.7997055040342906E-7</v>
      </c>
      <c r="T7">
        <v>1.1192346040530666E-6</v>
      </c>
      <c r="U7">
        <v>2.5517758252579357E-6</v>
      </c>
      <c r="V7">
        <v>-9.4416182828529109E-7</v>
      </c>
      <c r="W7">
        <v>5.3700113452974689E-10</v>
      </c>
      <c r="X7">
        <v>7.322587019708541E-7</v>
      </c>
      <c r="Y7">
        <v>1.5254149560822768E-6</v>
      </c>
      <c r="Z7">
        <v>5.2327896348422476E-7</v>
      </c>
      <c r="AA7">
        <v>2.5450904439067112E-7</v>
      </c>
      <c r="AB7">
        <v>-3.9829251870579976E-8</v>
      </c>
      <c r="AC7">
        <v>-7.1370330880431049E-8</v>
      </c>
      <c r="AD7">
        <v>3.6730068650846373E-7</v>
      </c>
      <c r="AE7">
        <v>3.5085484971564745E-8</v>
      </c>
      <c r="AF7">
        <v>2.4351785902068959E-8</v>
      </c>
      <c r="AG7">
        <v>2.0164206012617615E-7</v>
      </c>
      <c r="AH7">
        <v>3.8092463730150851E-7</v>
      </c>
      <c r="AI7">
        <v>-2.471867689561488E-7</v>
      </c>
      <c r="AJ7">
        <v>5.5865642568363611E-8</v>
      </c>
      <c r="AK7">
        <v>1.1797341635898579E-7</v>
      </c>
      <c r="AL7">
        <v>5.6121651134426986E-7</v>
      </c>
      <c r="AM7">
        <v>4.3023389352619079E-7</v>
      </c>
      <c r="AN7">
        <v>-4.711965288413332E-7</v>
      </c>
      <c r="AO7">
        <v>-1.2689232626032227E-6</v>
      </c>
      <c r="AP7">
        <v>1.3255535088338446E-7</v>
      </c>
      <c r="AQ7">
        <v>-3.095288302943451E-5</v>
      </c>
    </row>
    <row r="8" spans="1:43" x14ac:dyDescent="0.2">
      <c r="A8" t="s">
        <v>27</v>
      </c>
      <c r="B8">
        <v>0.35965781029590482</v>
      </c>
      <c r="C8">
        <v>1.9212086061751241E-6</v>
      </c>
      <c r="D8">
        <v>-2.3937802780963285E-6</v>
      </c>
      <c r="E8">
        <v>-6.2259647238554948E-7</v>
      </c>
      <c r="F8">
        <v>4.5436294816899289E-9</v>
      </c>
      <c r="G8">
        <v>-7.1980908643358553E-8</v>
      </c>
      <c r="H8">
        <v>-5.0359568658971334E-8</v>
      </c>
      <c r="I8">
        <v>1.1996196708693744E-5</v>
      </c>
      <c r="J8">
        <v>-2.1635127524350666E-8</v>
      </c>
      <c r="K8">
        <v>-6.3424973495697427E-8</v>
      </c>
      <c r="L8">
        <v>-1.4334736915578276E-6</v>
      </c>
      <c r="M8">
        <v>2.2936959432327269E-6</v>
      </c>
      <c r="N8">
        <v>1.5581670096448952E-7</v>
      </c>
      <c r="O8">
        <v>9.2737769780047069E-8</v>
      </c>
      <c r="P8">
        <v>-1.1674207196731083E-5</v>
      </c>
      <c r="Q8">
        <v>6.9302771386238279E-7</v>
      </c>
      <c r="R8">
        <v>3.1835136353894815E-6</v>
      </c>
      <c r="S8">
        <v>1.4148468876547284E-6</v>
      </c>
      <c r="T8">
        <v>-8.6095566526842912E-6</v>
      </c>
      <c r="U8">
        <v>7.8155431104848631E-7</v>
      </c>
      <c r="V8">
        <v>-5.3358540216023912E-6</v>
      </c>
      <c r="W8">
        <v>1.3650467540881986E-6</v>
      </c>
      <c r="X8">
        <v>4.6657382723663811E-8</v>
      </c>
      <c r="Y8">
        <v>-1.006610329615654E-5</v>
      </c>
      <c r="Z8">
        <v>-6.1015386470858185E-7</v>
      </c>
      <c r="AA8">
        <v>-2.4822859550266188E-6</v>
      </c>
      <c r="AB8">
        <v>-1.6666009619940184E-6</v>
      </c>
      <c r="AC8">
        <v>-8.9009357384786838E-7</v>
      </c>
      <c r="AD8">
        <v>-2.4152703068587669E-6</v>
      </c>
      <c r="AE8">
        <v>-8.7829517724207492E-7</v>
      </c>
      <c r="AF8">
        <v>-8.2109043944225285E-7</v>
      </c>
      <c r="AG8">
        <v>-2.078995580454005E-6</v>
      </c>
      <c r="AH8">
        <v>-7.7537424626279005E-7</v>
      </c>
      <c r="AI8">
        <v>-8.0196696430373746E-7</v>
      </c>
      <c r="AJ8">
        <v>-8.9387260280764863E-7</v>
      </c>
      <c r="AK8">
        <v>2.7364531765816458E-7</v>
      </c>
      <c r="AL8">
        <v>-6.4925914044465512E-8</v>
      </c>
      <c r="AM8">
        <v>-1.5147743887147962E-6</v>
      </c>
      <c r="AN8">
        <v>-2.7700145417977075E-6</v>
      </c>
      <c r="AO8">
        <v>1.7016176803823879E-6</v>
      </c>
      <c r="AP8">
        <v>-1.4628911999214528E-6</v>
      </c>
      <c r="AQ8">
        <v>8.1090863422484684E-6</v>
      </c>
    </row>
    <row r="9" spans="1:43" x14ac:dyDescent="0.2">
      <c r="A9" t="s">
        <v>28</v>
      </c>
      <c r="B9">
        <v>7.0213024123213855E-2</v>
      </c>
      <c r="C9">
        <v>1.5108493287795402E-5</v>
      </c>
      <c r="D9">
        <v>-3.0704306378983194E-5</v>
      </c>
      <c r="E9">
        <v>-1.9567822429412817E-6</v>
      </c>
      <c r="F9">
        <v>1.5078994017809662E-8</v>
      </c>
      <c r="G9">
        <v>-1.070269108663906E-7</v>
      </c>
      <c r="H9">
        <v>-6.3400724394590488E-8</v>
      </c>
      <c r="I9">
        <v>-2.1635127524350666E-8</v>
      </c>
      <c r="J9">
        <v>1.6087652460260936E-4</v>
      </c>
      <c r="K9">
        <v>-9.5945859371273969E-6</v>
      </c>
      <c r="L9">
        <v>-3.608044847956305E-7</v>
      </c>
      <c r="M9">
        <v>3.2179731020739322E-5</v>
      </c>
      <c r="N9">
        <v>-1.9053075512384128E-7</v>
      </c>
      <c r="O9">
        <v>-1.2441412782045149E-7</v>
      </c>
      <c r="P9">
        <v>6.8754199732146295E-7</v>
      </c>
      <c r="Q9">
        <v>-6.8617767596181004E-7</v>
      </c>
      <c r="R9">
        <v>4.6752600630422354E-5</v>
      </c>
      <c r="S9">
        <v>4.2618845655058529E-5</v>
      </c>
      <c r="T9">
        <v>1.2148532253637187E-3</v>
      </c>
      <c r="U9">
        <v>1.221943519820213E-3</v>
      </c>
      <c r="V9">
        <v>1.21642893869804E-3</v>
      </c>
      <c r="W9">
        <v>-1.7299560275923073E-5</v>
      </c>
      <c r="X9">
        <v>2.7163127860556477E-6</v>
      </c>
      <c r="Y9">
        <v>1.6486459645724414E-5</v>
      </c>
      <c r="Z9">
        <v>2.376120523868376E-5</v>
      </c>
      <c r="AA9">
        <v>2.5189476483620198E-5</v>
      </c>
      <c r="AB9">
        <v>2.4911754951852897E-5</v>
      </c>
      <c r="AC9">
        <v>2.6615447600549143E-5</v>
      </c>
      <c r="AD9">
        <v>1.8708319209363624E-5</v>
      </c>
      <c r="AE9">
        <v>1.7843590935979591E-5</v>
      </c>
      <c r="AF9">
        <v>1.8181270113550838E-5</v>
      </c>
      <c r="AG9">
        <v>3.4587132706842029E-5</v>
      </c>
      <c r="AH9">
        <v>2.7140886182237334E-5</v>
      </c>
      <c r="AI9">
        <v>1.8037605089667218E-5</v>
      </c>
      <c r="AJ9">
        <v>2.8053739253550408E-5</v>
      </c>
      <c r="AK9">
        <v>-1.9699319711954152E-7</v>
      </c>
      <c r="AL9">
        <v>4.4495975496379454E-6</v>
      </c>
      <c r="AM9">
        <v>1.0039153522349106E-6</v>
      </c>
      <c r="AN9">
        <v>1.1737307362459431E-5</v>
      </c>
      <c r="AO9">
        <v>1.5085726896715097E-5</v>
      </c>
      <c r="AP9">
        <v>-3.1900612715903692E-6</v>
      </c>
      <c r="AQ9">
        <v>-1.1915840409990565E-3</v>
      </c>
    </row>
    <row r="10" spans="1:43" x14ac:dyDescent="0.2">
      <c r="A10" t="s">
        <v>29</v>
      </c>
      <c r="B10">
        <v>2.8579125248822432E-2</v>
      </c>
      <c r="C10">
        <v>7.44115519237643E-7</v>
      </c>
      <c r="D10">
        <v>-1.9048570566781268E-6</v>
      </c>
      <c r="E10">
        <v>-1.7064950632759564E-6</v>
      </c>
      <c r="F10">
        <v>1.4617842446484214E-8</v>
      </c>
      <c r="G10">
        <v>-1.6326250513225022E-7</v>
      </c>
      <c r="H10">
        <v>-2.9845651886386117E-8</v>
      </c>
      <c r="I10">
        <v>-6.3424973495697427E-8</v>
      </c>
      <c r="J10">
        <v>-9.5945859371273969E-6</v>
      </c>
      <c r="K10">
        <v>1.2673739962598918E-5</v>
      </c>
      <c r="L10">
        <v>3.0848113380445403E-8</v>
      </c>
      <c r="M10">
        <v>1.6315812497280268E-6</v>
      </c>
      <c r="N10">
        <v>4.0761308100306535E-7</v>
      </c>
      <c r="O10">
        <v>-2.4365790016017499E-8</v>
      </c>
      <c r="P10">
        <v>-5.8375743726540486E-7</v>
      </c>
      <c r="Q10">
        <v>4.6667541611101914E-6</v>
      </c>
      <c r="R10">
        <v>5.9099391290051075E-6</v>
      </c>
      <c r="S10">
        <v>2.727911048905136E-6</v>
      </c>
      <c r="T10">
        <v>-2.4431756808341358E-5</v>
      </c>
      <c r="U10">
        <v>-1.4867172185870939E-5</v>
      </c>
      <c r="V10">
        <v>1.1284910703451696E-5</v>
      </c>
      <c r="W10">
        <v>-9.8993823267839655E-7</v>
      </c>
      <c r="X10">
        <v>2.5335330936456983E-6</v>
      </c>
      <c r="Y10">
        <v>5.4825842111082206E-6</v>
      </c>
      <c r="Z10">
        <v>-2.2594282908243416E-7</v>
      </c>
      <c r="AA10">
        <v>1.8038922624552149E-8</v>
      </c>
      <c r="AB10">
        <v>9.4711691161359219E-7</v>
      </c>
      <c r="AC10">
        <v>5.7845817418304186E-7</v>
      </c>
      <c r="AD10">
        <v>9.6692215430615975E-8</v>
      </c>
      <c r="AE10">
        <v>-5.6366009029572468E-7</v>
      </c>
      <c r="AF10">
        <v>-1.2217770953684927E-7</v>
      </c>
      <c r="AG10">
        <v>8.4107439391289235E-7</v>
      </c>
      <c r="AH10">
        <v>4.7879081452415363E-8</v>
      </c>
      <c r="AI10">
        <v>-1.901749454312833E-7</v>
      </c>
      <c r="AJ10">
        <v>2.2866122885936108E-6</v>
      </c>
      <c r="AK10">
        <v>-4.6703827866455757E-8</v>
      </c>
      <c r="AL10">
        <v>-1.7788727219755283E-6</v>
      </c>
      <c r="AM10">
        <v>-5.643962420273206E-7</v>
      </c>
      <c r="AN10">
        <v>3.5407737149583739E-6</v>
      </c>
      <c r="AO10">
        <v>3.5242080982553588E-6</v>
      </c>
      <c r="AP10">
        <v>5.7165651898475626E-6</v>
      </c>
      <c r="AQ10">
        <v>3.5695940180736307E-5</v>
      </c>
    </row>
    <row r="11" spans="1:43" x14ac:dyDescent="0.2">
      <c r="A11" t="s">
        <v>30</v>
      </c>
      <c r="B11">
        <v>0.24175926423187613</v>
      </c>
      <c r="C11">
        <v>1.7812894015626935E-6</v>
      </c>
      <c r="D11">
        <v>-2.7785157888669503E-6</v>
      </c>
      <c r="E11">
        <v>-6.8573771924086841E-7</v>
      </c>
      <c r="F11">
        <v>4.2669647541956145E-9</v>
      </c>
      <c r="G11">
        <v>-7.6820801025736477E-8</v>
      </c>
      <c r="H11">
        <v>-1.0144016802859235E-7</v>
      </c>
      <c r="I11">
        <v>-1.4334736915578276E-6</v>
      </c>
      <c r="J11">
        <v>-3.608044847956305E-7</v>
      </c>
      <c r="K11">
        <v>3.0848113380445403E-8</v>
      </c>
      <c r="L11">
        <v>1.1922799152062388E-5</v>
      </c>
      <c r="M11">
        <v>3.498768110080502E-6</v>
      </c>
      <c r="N11">
        <v>2.5934387096727133E-8</v>
      </c>
      <c r="O11">
        <v>5.3072635482497179E-8</v>
      </c>
      <c r="P11">
        <v>1.4339401648410217E-6</v>
      </c>
      <c r="Q11">
        <v>-1.1609784779446423E-5</v>
      </c>
      <c r="R11">
        <v>9.5259846755884367E-6</v>
      </c>
      <c r="S11">
        <v>4.9305125597640483E-6</v>
      </c>
      <c r="T11">
        <v>-2.75211057538848E-6</v>
      </c>
      <c r="U11">
        <v>-3.0889657305683561E-6</v>
      </c>
      <c r="V11">
        <v>-8.1704479640311103E-6</v>
      </c>
      <c r="W11">
        <v>1.6035053607044355E-6</v>
      </c>
      <c r="X11">
        <v>1.8466097071414545E-6</v>
      </c>
      <c r="Y11">
        <v>-8.7283348171078547E-6</v>
      </c>
      <c r="Z11">
        <v>4.218413343670468E-6</v>
      </c>
      <c r="AA11">
        <v>1.9464843245726656E-6</v>
      </c>
      <c r="AB11">
        <v>2.0439802341405714E-6</v>
      </c>
      <c r="AC11">
        <v>3.6443197522459899E-6</v>
      </c>
      <c r="AD11">
        <v>1.340830917743538E-6</v>
      </c>
      <c r="AE11">
        <v>2.0449792555180764E-6</v>
      </c>
      <c r="AF11">
        <v>1.5514434767175968E-6</v>
      </c>
      <c r="AG11">
        <v>3.20239959154003E-7</v>
      </c>
      <c r="AH11">
        <v>2.7589313642292798E-6</v>
      </c>
      <c r="AI11">
        <v>2.4082997162288256E-6</v>
      </c>
      <c r="AJ11">
        <v>5.0024728457483947E-6</v>
      </c>
      <c r="AK11">
        <v>8.495546009390825E-8</v>
      </c>
      <c r="AL11">
        <v>-1.9086666757252774E-6</v>
      </c>
      <c r="AM11">
        <v>-1.4958462892495294E-6</v>
      </c>
      <c r="AN11">
        <v>1.4193826944690111E-6</v>
      </c>
      <c r="AO11">
        <v>1.0915318214942416E-5</v>
      </c>
      <c r="AP11">
        <v>6.2371580677043661E-6</v>
      </c>
      <c r="AQ11">
        <v>1.2472996068438087E-5</v>
      </c>
    </row>
    <row r="12" spans="1:43" x14ac:dyDescent="0.2">
      <c r="A12" t="s">
        <v>31</v>
      </c>
      <c r="B12">
        <v>0.15881230542051375</v>
      </c>
      <c r="C12">
        <v>-2.1249839681255975E-3</v>
      </c>
      <c r="D12">
        <v>-2.4540017160883717E-4</v>
      </c>
      <c r="E12">
        <v>-3.3013537758753374E-6</v>
      </c>
      <c r="F12">
        <v>2.8459479566916724E-8</v>
      </c>
      <c r="G12">
        <v>-2.9793654134082809E-7</v>
      </c>
      <c r="H12">
        <v>7.320183782763192E-7</v>
      </c>
      <c r="I12">
        <v>2.2936959432327269E-6</v>
      </c>
      <c r="J12">
        <v>3.2179731020739322E-5</v>
      </c>
      <c r="K12">
        <v>1.6315812497280268E-6</v>
      </c>
      <c r="L12">
        <v>3.498768110080502E-6</v>
      </c>
      <c r="M12">
        <v>4.6802596315387432E-3</v>
      </c>
      <c r="N12">
        <v>1.37572593101364E-5</v>
      </c>
      <c r="O12">
        <v>-1.9136858879943347E-5</v>
      </c>
      <c r="P12">
        <v>-6.5469501198369028E-5</v>
      </c>
      <c r="Q12">
        <v>2.4307637430538789E-6</v>
      </c>
      <c r="R12">
        <v>9.3834983951718954E-6</v>
      </c>
      <c r="S12">
        <v>1.5203680542319294E-5</v>
      </c>
      <c r="T12">
        <v>2.8137980430629041E-4</v>
      </c>
      <c r="U12">
        <v>2.3690776706579585E-4</v>
      </c>
      <c r="V12">
        <v>2.3491317537068871E-4</v>
      </c>
      <c r="W12">
        <v>-9.5068244009143151E-6</v>
      </c>
      <c r="X12">
        <v>-2.1216916444877141E-5</v>
      </c>
      <c r="Y12">
        <v>-1.2570992298374325E-5</v>
      </c>
      <c r="Z12">
        <v>1.0670760296230779E-4</v>
      </c>
      <c r="AA12">
        <v>4.7168488882504852E-5</v>
      </c>
      <c r="AB12">
        <v>5.5776550242128841E-5</v>
      </c>
      <c r="AC12">
        <v>5.4915695217863433E-5</v>
      </c>
      <c r="AD12">
        <v>7.449618574829111E-5</v>
      </c>
      <c r="AE12">
        <v>7.9942688338663969E-5</v>
      </c>
      <c r="AF12">
        <v>3.0729973177551325E-5</v>
      </c>
      <c r="AG12">
        <v>5.0772921797149917E-5</v>
      </c>
      <c r="AH12">
        <v>5.9783750706806865E-5</v>
      </c>
      <c r="AI12">
        <v>6.339620792485805E-5</v>
      </c>
      <c r="AJ12">
        <v>7.4892457548389273E-5</v>
      </c>
      <c r="AK12">
        <v>1.6432461526461594E-6</v>
      </c>
      <c r="AL12">
        <v>-1.9477942842830539E-5</v>
      </c>
      <c r="AM12">
        <v>-1.4101474013117949E-5</v>
      </c>
      <c r="AN12">
        <v>4.7051044427256234E-6</v>
      </c>
      <c r="AO12">
        <v>5.4090099674456059E-5</v>
      </c>
      <c r="AP12">
        <v>5.2764355390124838E-6</v>
      </c>
      <c r="AQ12">
        <v>-1.691743607229322E-4</v>
      </c>
    </row>
    <row r="13" spans="1:43" x14ac:dyDescent="0.2">
      <c r="A13" t="s">
        <v>32</v>
      </c>
      <c r="B13">
        <v>6.0994170720566412E-3</v>
      </c>
      <c r="C13">
        <v>-3.7443760037623583E-5</v>
      </c>
      <c r="D13">
        <v>-2.2482875971778459E-7</v>
      </c>
      <c r="E13">
        <v>2.3086369990240298E-7</v>
      </c>
      <c r="F13">
        <v>-2.5353770636952124E-9</v>
      </c>
      <c r="G13">
        <v>-1.9223011768540963E-7</v>
      </c>
      <c r="H13">
        <v>3.3470041077070274E-7</v>
      </c>
      <c r="I13">
        <v>1.5581670096448952E-7</v>
      </c>
      <c r="J13">
        <v>-1.9053075512384128E-7</v>
      </c>
      <c r="K13">
        <v>4.0761308100306535E-7</v>
      </c>
      <c r="L13">
        <v>2.5934387096727133E-8</v>
      </c>
      <c r="M13">
        <v>1.37572593101364E-5</v>
      </c>
      <c r="N13">
        <v>5.0317656588450581E-6</v>
      </c>
      <c r="O13">
        <v>-4.3889494193229892E-6</v>
      </c>
      <c r="P13">
        <v>-2.5814818305605039E-6</v>
      </c>
      <c r="Q13">
        <v>-1.5223532928038021E-6</v>
      </c>
      <c r="R13">
        <v>-6.7624605028515994E-7</v>
      </c>
      <c r="S13">
        <v>-3.6829039074066595E-7</v>
      </c>
      <c r="T13">
        <v>-3.8802638954152207E-5</v>
      </c>
      <c r="U13">
        <v>2.260773678153252E-6</v>
      </c>
      <c r="V13">
        <v>6.0900422242270277E-7</v>
      </c>
      <c r="W13">
        <v>-7.3361335606412602E-7</v>
      </c>
      <c r="X13">
        <v>1.1111924367111639E-6</v>
      </c>
      <c r="Y13">
        <v>2.9429770862559252E-7</v>
      </c>
      <c r="Z13">
        <v>-2.3445736977436121E-7</v>
      </c>
      <c r="AA13">
        <v>-4.9349294092635528E-7</v>
      </c>
      <c r="AB13">
        <v>-6.3108980518844953E-7</v>
      </c>
      <c r="AC13">
        <v>-1.5214710728784933E-6</v>
      </c>
      <c r="AD13">
        <v>-1.2780145405637458E-6</v>
      </c>
      <c r="AE13">
        <v>-8.7018536049072937E-7</v>
      </c>
      <c r="AF13">
        <v>-6.5570018805001409E-7</v>
      </c>
      <c r="AG13">
        <v>-1.0618184234114202E-6</v>
      </c>
      <c r="AH13">
        <v>-5.3198757825817627E-7</v>
      </c>
      <c r="AI13">
        <v>-1.3391941829081007E-6</v>
      </c>
      <c r="AJ13">
        <v>-4.8230710964117586E-7</v>
      </c>
      <c r="AK13">
        <v>1.2236633744174214E-9</v>
      </c>
      <c r="AL13">
        <v>-8.5618059634162361E-7</v>
      </c>
      <c r="AM13">
        <v>-1.5972726259823421E-7</v>
      </c>
      <c r="AN13">
        <v>9.6065852547715417E-7</v>
      </c>
      <c r="AO13">
        <v>1.5218146791013754E-7</v>
      </c>
      <c r="AP13">
        <v>1.624491171633164E-6</v>
      </c>
      <c r="AQ13">
        <v>-1.2158121455179425E-5</v>
      </c>
    </row>
    <row r="14" spans="1:43" x14ac:dyDescent="0.2">
      <c r="A14" t="s">
        <v>33</v>
      </c>
      <c r="B14">
        <v>-1.1103035167805629E-2</v>
      </c>
      <c r="C14">
        <v>-1.795159029765831E-5</v>
      </c>
      <c r="D14">
        <v>-1.1886240941897516E-7</v>
      </c>
      <c r="E14">
        <v>1.6157240396915563E-8</v>
      </c>
      <c r="F14">
        <v>3.7536318935293608E-10</v>
      </c>
      <c r="G14">
        <v>1.743881348507893E-7</v>
      </c>
      <c r="H14">
        <v>-4.3650895609706045E-7</v>
      </c>
      <c r="I14">
        <v>9.2737769780047069E-8</v>
      </c>
      <c r="J14">
        <v>-1.2441412782045149E-7</v>
      </c>
      <c r="K14">
        <v>-2.4365790016017499E-8</v>
      </c>
      <c r="L14">
        <v>5.3072635482497179E-8</v>
      </c>
      <c r="M14">
        <v>-1.9136858879943347E-5</v>
      </c>
      <c r="N14">
        <v>-4.3889494193229892E-6</v>
      </c>
      <c r="O14">
        <v>6.2232537798704673E-6</v>
      </c>
      <c r="P14">
        <v>4.5055491233811538E-7</v>
      </c>
      <c r="Q14">
        <v>4.8900885070493631E-7</v>
      </c>
      <c r="R14">
        <v>3.5959357473070451E-7</v>
      </c>
      <c r="S14">
        <v>1.1805740326573747E-7</v>
      </c>
      <c r="T14">
        <v>-2.1495045389739666E-5</v>
      </c>
      <c r="U14">
        <v>-2.9229335786332029E-6</v>
      </c>
      <c r="V14">
        <v>-7.5799972582650801E-7</v>
      </c>
      <c r="W14">
        <v>1.8846951987691327E-7</v>
      </c>
      <c r="X14">
        <v>4.8481987885650373E-9</v>
      </c>
      <c r="Y14">
        <v>-6.7861456496177547E-7</v>
      </c>
      <c r="Z14">
        <v>3.2841494272040776E-7</v>
      </c>
      <c r="AA14">
        <v>6.2203399019745607E-7</v>
      </c>
      <c r="AB14">
        <v>1.7628717897282795E-6</v>
      </c>
      <c r="AC14">
        <v>1.5216618815240736E-6</v>
      </c>
      <c r="AD14">
        <v>1.5831826287317503E-6</v>
      </c>
      <c r="AE14">
        <v>1.5568605010509571E-6</v>
      </c>
      <c r="AF14">
        <v>1.458832036862225E-6</v>
      </c>
      <c r="AG14">
        <v>1.3062011391726205E-6</v>
      </c>
      <c r="AH14">
        <v>1.0466652395878852E-6</v>
      </c>
      <c r="AI14">
        <v>2.1339272873452671E-6</v>
      </c>
      <c r="AJ14">
        <v>7.7784075791432879E-7</v>
      </c>
      <c r="AK14">
        <v>-1.06958696163898E-8</v>
      </c>
      <c r="AL14">
        <v>5.9678476406496822E-7</v>
      </c>
      <c r="AM14">
        <v>5.9313736963136207E-7</v>
      </c>
      <c r="AN14">
        <v>-7.970833500006733E-7</v>
      </c>
      <c r="AO14">
        <v>1.2678636323912585E-7</v>
      </c>
      <c r="AP14">
        <v>-2.0930090260865931E-6</v>
      </c>
      <c r="AQ14">
        <v>1.0979622613103878E-5</v>
      </c>
    </row>
    <row r="15" spans="1:43" x14ac:dyDescent="0.2">
      <c r="A15" t="s">
        <v>34</v>
      </c>
      <c r="B15">
        <v>-7.3464365219762531E-2</v>
      </c>
      <c r="C15">
        <v>-2.3320289427710457E-6</v>
      </c>
      <c r="D15">
        <v>6.8650970899333859E-7</v>
      </c>
      <c r="E15">
        <v>-1.456178185101348E-6</v>
      </c>
      <c r="F15">
        <v>1.5669617265464064E-8</v>
      </c>
      <c r="G15">
        <v>1.4750597854822063E-7</v>
      </c>
      <c r="H15">
        <v>9.0459599285170164E-8</v>
      </c>
      <c r="I15">
        <v>-1.1674207196731083E-5</v>
      </c>
      <c r="J15">
        <v>6.8754199732146295E-7</v>
      </c>
      <c r="K15">
        <v>-5.8375743726540486E-7</v>
      </c>
      <c r="L15">
        <v>1.4339401648410217E-6</v>
      </c>
      <c r="M15">
        <v>-6.5469501198369028E-5</v>
      </c>
      <c r="N15">
        <v>-2.5814818305605039E-6</v>
      </c>
      <c r="O15">
        <v>4.5055491233811538E-7</v>
      </c>
      <c r="P15">
        <v>2.1963515680137295E-4</v>
      </c>
      <c r="Q15">
        <v>-5.8481099431006571E-5</v>
      </c>
      <c r="R15">
        <v>-3.6185177883855744E-6</v>
      </c>
      <c r="S15">
        <v>-6.5192478746049526E-7</v>
      </c>
      <c r="T15">
        <v>-8.0198473270996002E-6</v>
      </c>
      <c r="U15">
        <v>5.2006991803884459E-6</v>
      </c>
      <c r="V15">
        <v>6.8760107810117779E-6</v>
      </c>
      <c r="W15">
        <v>1.1448604218138574E-5</v>
      </c>
      <c r="X15">
        <v>-1.7076422333173564E-5</v>
      </c>
      <c r="Y15">
        <v>2.051125714599673E-5</v>
      </c>
      <c r="Z15">
        <v>-1.2448138000114254E-5</v>
      </c>
      <c r="AA15">
        <v>-7.1139865647391006E-6</v>
      </c>
      <c r="AB15">
        <v>-9.0234872931288706E-6</v>
      </c>
      <c r="AC15">
        <v>-9.512665358645353E-6</v>
      </c>
      <c r="AD15">
        <v>-5.9537375077286314E-6</v>
      </c>
      <c r="AE15">
        <v>-9.5115129037034899E-6</v>
      </c>
      <c r="AF15">
        <v>-1.1056774850100078E-5</v>
      </c>
      <c r="AG15">
        <v>-9.1477461978018034E-6</v>
      </c>
      <c r="AH15">
        <v>-9.8158814191639406E-6</v>
      </c>
      <c r="AI15">
        <v>-1.5948848489041499E-5</v>
      </c>
      <c r="AJ15">
        <v>-9.9437770080302738E-6</v>
      </c>
      <c r="AK15">
        <v>-1.5323940663416493E-6</v>
      </c>
      <c r="AL15">
        <v>1.0137668801523559E-6</v>
      </c>
      <c r="AM15">
        <v>-4.9513601076935344E-6</v>
      </c>
      <c r="AN15">
        <v>-1.6298828899884548E-5</v>
      </c>
      <c r="AO15">
        <v>-5.5084977203749604E-6</v>
      </c>
      <c r="AP15">
        <v>1.6949103967013929E-6</v>
      </c>
      <c r="AQ15">
        <v>6.6777517911226398E-5</v>
      </c>
    </row>
    <row r="16" spans="1:43" x14ac:dyDescent="0.2">
      <c r="A16" t="s">
        <v>35</v>
      </c>
      <c r="B16">
        <v>-9.6444773153988708E-2</v>
      </c>
      <c r="C16">
        <v>5.30719937770596E-6</v>
      </c>
      <c r="D16">
        <v>5.7708739240658847E-7</v>
      </c>
      <c r="E16">
        <v>1.6012757025187979E-6</v>
      </c>
      <c r="F16">
        <v>-7.4931651069714064E-9</v>
      </c>
      <c r="G16">
        <v>4.3694212875808637E-8</v>
      </c>
      <c r="H16">
        <v>1.7898863706988686E-7</v>
      </c>
      <c r="I16">
        <v>6.9302771386238279E-7</v>
      </c>
      <c r="J16">
        <v>-6.8617767596181004E-7</v>
      </c>
      <c r="K16">
        <v>4.6667541611101914E-6</v>
      </c>
      <c r="L16">
        <v>-1.1609784779446423E-5</v>
      </c>
      <c r="M16">
        <v>2.4307637430538789E-6</v>
      </c>
      <c r="N16">
        <v>-1.5223532928038021E-6</v>
      </c>
      <c r="O16">
        <v>4.8900885070493631E-7</v>
      </c>
      <c r="P16">
        <v>-5.8481099431006571E-5</v>
      </c>
      <c r="Q16">
        <v>2.5541930723260785E-4</v>
      </c>
      <c r="R16">
        <v>-4.9356875221384698E-7</v>
      </c>
      <c r="S16">
        <v>2.2709274543073235E-6</v>
      </c>
      <c r="T16">
        <v>3.0626623222622178E-5</v>
      </c>
      <c r="U16">
        <v>8.8233255193518979E-6</v>
      </c>
      <c r="V16">
        <v>2.9690422483959267E-5</v>
      </c>
      <c r="W16">
        <v>1.7000058280564328E-5</v>
      </c>
      <c r="X16">
        <v>-1.4933488234660469E-5</v>
      </c>
      <c r="Y16">
        <v>4.1054701070935507E-5</v>
      </c>
      <c r="Z16">
        <v>7.3247729906167224E-6</v>
      </c>
      <c r="AA16">
        <v>5.9951716691633167E-6</v>
      </c>
      <c r="AB16">
        <v>3.5660976870716779E-6</v>
      </c>
      <c r="AC16">
        <v>6.900843350194555E-6</v>
      </c>
      <c r="AD16">
        <v>9.4832944414215013E-6</v>
      </c>
      <c r="AE16">
        <v>4.8344269820945057E-6</v>
      </c>
      <c r="AF16">
        <v>3.5847987254438913E-6</v>
      </c>
      <c r="AG16">
        <v>1.2283311947706386E-5</v>
      </c>
      <c r="AH16">
        <v>2.6397729919573078E-6</v>
      </c>
      <c r="AI16">
        <v>8.1950305145359244E-6</v>
      </c>
      <c r="AJ16">
        <v>9.8992891429285751E-7</v>
      </c>
      <c r="AK16">
        <v>-6.9740423971864828E-7</v>
      </c>
      <c r="AL16">
        <v>-2.1082937398160816E-6</v>
      </c>
      <c r="AM16">
        <v>-1.0630705071184812E-6</v>
      </c>
      <c r="AN16">
        <v>1.3544381751821064E-6</v>
      </c>
      <c r="AO16">
        <v>-1.7274885200519789E-6</v>
      </c>
      <c r="AP16">
        <v>5.8416422667730437E-7</v>
      </c>
      <c r="AQ16">
        <v>-8.5468172630736206E-5</v>
      </c>
    </row>
    <row r="17" spans="1:43" x14ac:dyDescent="0.2">
      <c r="A17" t="s">
        <v>36</v>
      </c>
      <c r="B17">
        <v>-0.72633264178472901</v>
      </c>
      <c r="C17">
        <v>2.3953949626976257E-4</v>
      </c>
      <c r="D17">
        <v>-1.4602148437459861E-5</v>
      </c>
      <c r="E17">
        <v>1.4529090714040564E-6</v>
      </c>
      <c r="F17">
        <v>-5.8347910468930759E-8</v>
      </c>
      <c r="G17">
        <v>1.7976790526627732E-6</v>
      </c>
      <c r="H17">
        <v>4.0198823116602259E-8</v>
      </c>
      <c r="I17">
        <v>3.1835136353894815E-6</v>
      </c>
      <c r="J17">
        <v>4.6752600630422354E-5</v>
      </c>
      <c r="K17">
        <v>5.9099391290051075E-6</v>
      </c>
      <c r="L17">
        <v>9.5259846755884367E-6</v>
      </c>
      <c r="M17">
        <v>9.3834983951718954E-6</v>
      </c>
      <c r="N17">
        <v>-6.7624605028515994E-7</v>
      </c>
      <c r="O17">
        <v>3.5959357473070451E-7</v>
      </c>
      <c r="P17">
        <v>-3.6185177883855744E-6</v>
      </c>
      <c r="Q17">
        <v>-4.9356875221384698E-7</v>
      </c>
      <c r="R17">
        <v>6.6985505635870917E-4</v>
      </c>
      <c r="S17">
        <v>2.9713368797620572E-4</v>
      </c>
      <c r="T17">
        <v>3.6882346682485048E-4</v>
      </c>
      <c r="U17">
        <v>3.0871636353350799E-4</v>
      </c>
      <c r="V17">
        <v>3.8858283343761618E-4</v>
      </c>
      <c r="W17">
        <v>1.3144970193461807E-5</v>
      </c>
      <c r="X17">
        <v>-1.1373557507446317E-5</v>
      </c>
      <c r="Y17">
        <v>-4.0976372089729656E-5</v>
      </c>
      <c r="Z17">
        <v>-1.6730646164337678E-5</v>
      </c>
      <c r="AA17">
        <v>-1.8053068687877731E-5</v>
      </c>
      <c r="AB17">
        <v>-1.1002198336874513E-5</v>
      </c>
      <c r="AC17">
        <v>-3.8575766730614846E-5</v>
      </c>
      <c r="AD17">
        <v>-3.7146697181528627E-5</v>
      </c>
      <c r="AE17">
        <v>-3.0306190342294488E-5</v>
      </c>
      <c r="AF17">
        <v>-9.50106399962216E-6</v>
      </c>
      <c r="AG17">
        <v>-1.7748418167556673E-5</v>
      </c>
      <c r="AH17">
        <v>-2.4836544990257219E-5</v>
      </c>
      <c r="AI17">
        <v>5.2629652203172112E-6</v>
      </c>
      <c r="AJ17">
        <v>-2.0811236843181163E-5</v>
      </c>
      <c r="AK17">
        <v>5.6795691690461744E-6</v>
      </c>
      <c r="AL17">
        <v>3.6748252122989971E-6</v>
      </c>
      <c r="AM17">
        <v>8.3889061515681789E-6</v>
      </c>
      <c r="AN17">
        <v>3.2690810866489446E-5</v>
      </c>
      <c r="AO17">
        <v>5.796882233036763E-5</v>
      </c>
      <c r="AP17">
        <v>4.3615124391025443E-5</v>
      </c>
      <c r="AQ17">
        <v>-7.7419408309416259E-4</v>
      </c>
    </row>
    <row r="18" spans="1:43" x14ac:dyDescent="0.2">
      <c r="A18" t="s">
        <v>37</v>
      </c>
      <c r="B18">
        <v>-0.33476942057896969</v>
      </c>
      <c r="C18">
        <v>2.725459988840889E-4</v>
      </c>
      <c r="D18">
        <v>-1.8426353221951989E-5</v>
      </c>
      <c r="E18">
        <v>3.857722529017804E-8</v>
      </c>
      <c r="F18">
        <v>-8.6718454355547243E-9</v>
      </c>
      <c r="G18">
        <v>1.0342040561933468E-6</v>
      </c>
      <c r="H18">
        <v>-2.7997055040342906E-7</v>
      </c>
      <c r="I18">
        <v>1.4148468876547284E-6</v>
      </c>
      <c r="J18">
        <v>4.2618845655058529E-5</v>
      </c>
      <c r="K18">
        <v>2.727911048905136E-6</v>
      </c>
      <c r="L18">
        <v>4.9305125597640483E-6</v>
      </c>
      <c r="M18">
        <v>1.5203680542319294E-5</v>
      </c>
      <c r="N18">
        <v>-3.6829039074066595E-7</v>
      </c>
      <c r="O18">
        <v>1.1805740326573747E-7</v>
      </c>
      <c r="P18">
        <v>-6.5192478746049526E-7</v>
      </c>
      <c r="Q18">
        <v>2.2709274543073235E-6</v>
      </c>
      <c r="R18">
        <v>2.9713368797620572E-4</v>
      </c>
      <c r="S18">
        <v>3.830686193783627E-4</v>
      </c>
      <c r="T18">
        <v>3.1979446014070406E-4</v>
      </c>
      <c r="U18">
        <v>3.1197791611427907E-4</v>
      </c>
      <c r="V18">
        <v>3.4268457156244386E-4</v>
      </c>
      <c r="W18">
        <v>1.3842594708709828E-5</v>
      </c>
      <c r="X18">
        <v>-1.4335542790933108E-6</v>
      </c>
      <c r="Y18">
        <v>-2.9605523291431561E-5</v>
      </c>
      <c r="Z18">
        <v>-3.7699873412436836E-5</v>
      </c>
      <c r="AA18">
        <v>-3.1161016461960384E-5</v>
      </c>
      <c r="AB18">
        <v>-2.6958527843214472E-5</v>
      </c>
      <c r="AC18">
        <v>-3.5302385877398985E-5</v>
      </c>
      <c r="AD18">
        <v>-2.4274527796574774E-5</v>
      </c>
      <c r="AE18">
        <v>-3.6676749646561731E-5</v>
      </c>
      <c r="AF18">
        <v>-2.1672540264363851E-5</v>
      </c>
      <c r="AG18">
        <v>-3.4440891761421355E-5</v>
      </c>
      <c r="AH18">
        <v>-3.721189573157094E-5</v>
      </c>
      <c r="AI18">
        <v>-2.5397873193035592E-5</v>
      </c>
      <c r="AJ18">
        <v>-1.0179612621401659E-6</v>
      </c>
      <c r="AK18">
        <v>1.1385342679430662E-6</v>
      </c>
      <c r="AL18">
        <v>6.9429646425470127E-6</v>
      </c>
      <c r="AM18">
        <v>2.662678405325554E-6</v>
      </c>
      <c r="AN18">
        <v>3.6106329766680023E-5</v>
      </c>
      <c r="AO18">
        <v>4.0138220680796717E-5</v>
      </c>
      <c r="AP18">
        <v>2.2068035740606959E-5</v>
      </c>
      <c r="AQ18">
        <v>-6.2453287308972716E-4</v>
      </c>
    </row>
    <row r="19" spans="1:43" x14ac:dyDescent="0.2">
      <c r="A19" t="s">
        <v>38</v>
      </c>
      <c r="B19">
        <v>0.92773845653221831</v>
      </c>
      <c r="C19">
        <v>-2.906965866680605E-5</v>
      </c>
      <c r="D19">
        <v>-2.2591876285569558E-4</v>
      </c>
      <c r="E19">
        <v>1.4331692953605611E-5</v>
      </c>
      <c r="F19">
        <v>-9.632354138614616E-8</v>
      </c>
      <c r="G19">
        <v>-3.2664790561482988E-7</v>
      </c>
      <c r="H19">
        <v>1.1192346040530666E-6</v>
      </c>
      <c r="I19">
        <v>-8.6095566526842912E-6</v>
      </c>
      <c r="J19">
        <v>1.2148532253637187E-3</v>
      </c>
      <c r="K19">
        <v>-2.4431756808341358E-5</v>
      </c>
      <c r="L19">
        <v>-2.75211057538848E-6</v>
      </c>
      <c r="M19">
        <v>2.8137980430629041E-4</v>
      </c>
      <c r="N19">
        <v>-3.8802638954152207E-5</v>
      </c>
      <c r="O19">
        <v>-2.1495045389739666E-5</v>
      </c>
      <c r="P19">
        <v>-8.0198473270996002E-6</v>
      </c>
      <c r="Q19">
        <v>3.0626623222622178E-5</v>
      </c>
      <c r="R19">
        <v>3.6882346682485048E-4</v>
      </c>
      <c r="S19">
        <v>3.1979446014070406E-4</v>
      </c>
      <c r="T19">
        <v>1.3225375000801313E-2</v>
      </c>
      <c r="U19">
        <v>9.6359324708822081E-3</v>
      </c>
      <c r="V19">
        <v>9.5223974376734133E-3</v>
      </c>
      <c r="W19">
        <v>-6.5216602353374177E-5</v>
      </c>
      <c r="X19">
        <v>2.886450701463099E-5</v>
      </c>
      <c r="Y19">
        <v>1.6477356290639641E-4</v>
      </c>
      <c r="Z19">
        <v>1.8896974111496431E-4</v>
      </c>
      <c r="AA19">
        <v>2.1835060745557062E-4</v>
      </c>
      <c r="AB19">
        <v>2.1371343751937525E-4</v>
      </c>
      <c r="AC19">
        <v>2.4555890700381265E-4</v>
      </c>
      <c r="AD19">
        <v>1.7184024581455137E-4</v>
      </c>
      <c r="AE19">
        <v>1.4792372966864658E-4</v>
      </c>
      <c r="AF19">
        <v>1.4542350183799932E-4</v>
      </c>
      <c r="AG19">
        <v>2.9821692496713155E-4</v>
      </c>
      <c r="AH19">
        <v>2.2722927632010202E-4</v>
      </c>
      <c r="AI19">
        <v>1.3605770031667377E-4</v>
      </c>
      <c r="AJ19">
        <v>2.1691515767234548E-4</v>
      </c>
      <c r="AK19">
        <v>-3.6093969530788181E-6</v>
      </c>
      <c r="AL19">
        <v>1.9406690950977108E-5</v>
      </c>
      <c r="AM19">
        <v>-2.2533089102217178E-5</v>
      </c>
      <c r="AN19">
        <v>9.7381113158292315E-5</v>
      </c>
      <c r="AO19">
        <v>5.7315371861140461E-5</v>
      </c>
      <c r="AP19">
        <v>-3.6163085148358063E-5</v>
      </c>
      <c r="AQ19">
        <v>-1.0417341991223336E-2</v>
      </c>
    </row>
    <row r="20" spans="1:43" x14ac:dyDescent="0.2">
      <c r="A20" t="s">
        <v>39</v>
      </c>
      <c r="B20">
        <v>0.30747301937855465</v>
      </c>
      <c r="C20">
        <v>9.494905878414147E-5</v>
      </c>
      <c r="D20">
        <v>-2.2909428696215071E-4</v>
      </c>
      <c r="E20">
        <v>-1.9662884312805365E-5</v>
      </c>
      <c r="F20">
        <v>1.7157724230403317E-7</v>
      </c>
      <c r="G20">
        <v>1.1344675161523501E-6</v>
      </c>
      <c r="H20">
        <v>2.5517758252579357E-6</v>
      </c>
      <c r="I20">
        <v>7.8155431104848631E-7</v>
      </c>
      <c r="J20">
        <v>1.221943519820213E-3</v>
      </c>
      <c r="K20">
        <v>-1.4867172185870939E-5</v>
      </c>
      <c r="L20">
        <v>-3.0889657305683561E-6</v>
      </c>
      <c r="M20">
        <v>2.3690776706579585E-4</v>
      </c>
      <c r="N20">
        <v>2.260773678153252E-6</v>
      </c>
      <c r="O20">
        <v>-2.9229335786332029E-6</v>
      </c>
      <c r="P20">
        <v>5.2006991803884459E-6</v>
      </c>
      <c r="Q20">
        <v>8.8233255193518979E-6</v>
      </c>
      <c r="R20">
        <v>3.0871636353350799E-4</v>
      </c>
      <c r="S20">
        <v>3.1197791611427907E-4</v>
      </c>
      <c r="T20">
        <v>9.6359324708822081E-3</v>
      </c>
      <c r="U20">
        <v>1.0365593873101276E-2</v>
      </c>
      <c r="V20">
        <v>9.7281629351604823E-3</v>
      </c>
      <c r="W20">
        <v>-1.4627922902895186E-4</v>
      </c>
      <c r="X20">
        <v>2.0152670348333652E-5</v>
      </c>
      <c r="Y20">
        <v>1.2035350547758158E-4</v>
      </c>
      <c r="Z20">
        <v>1.7123697341876656E-4</v>
      </c>
      <c r="AA20">
        <v>2.3016645610858793E-4</v>
      </c>
      <c r="AB20">
        <v>1.9396031790510455E-4</v>
      </c>
      <c r="AC20">
        <v>2.3804794736008179E-4</v>
      </c>
      <c r="AD20">
        <v>1.6809440923202493E-4</v>
      </c>
      <c r="AE20">
        <v>1.4335718777978455E-4</v>
      </c>
      <c r="AF20">
        <v>1.5884348050191374E-4</v>
      </c>
      <c r="AG20">
        <v>2.8208813829630258E-4</v>
      </c>
      <c r="AH20">
        <v>2.3066574085804821E-4</v>
      </c>
      <c r="AI20">
        <v>1.3618446540701341E-4</v>
      </c>
      <c r="AJ20">
        <v>2.3468446320245966E-4</v>
      </c>
      <c r="AK20">
        <v>-1.5212988806138222E-6</v>
      </c>
      <c r="AL20">
        <v>4.0184866602136982E-5</v>
      </c>
      <c r="AM20">
        <v>1.3932914645494409E-5</v>
      </c>
      <c r="AN20">
        <v>8.664349734370828E-5</v>
      </c>
      <c r="AO20">
        <v>8.1839746367272891E-5</v>
      </c>
      <c r="AP20">
        <v>-3.1066503404366102E-5</v>
      </c>
      <c r="AQ20">
        <v>-9.7518677686564623E-3</v>
      </c>
    </row>
    <row r="21" spans="1:43" x14ac:dyDescent="0.2">
      <c r="A21" t="s">
        <v>40</v>
      </c>
      <c r="B21">
        <v>0.95559138178704717</v>
      </c>
      <c r="C21">
        <v>1.255927325037019E-4</v>
      </c>
      <c r="D21">
        <v>-2.2585382704660889E-4</v>
      </c>
      <c r="E21">
        <v>-1.3674085585802529E-5</v>
      </c>
      <c r="F21">
        <v>-2.7239494850294277E-8</v>
      </c>
      <c r="G21">
        <v>-4.7619299849393456E-7</v>
      </c>
      <c r="H21">
        <v>-9.4416182828529109E-7</v>
      </c>
      <c r="I21">
        <v>-5.3358540216023912E-6</v>
      </c>
      <c r="J21">
        <v>1.21642893869804E-3</v>
      </c>
      <c r="K21">
        <v>1.1284910703451696E-5</v>
      </c>
      <c r="L21">
        <v>-8.1704479640311103E-6</v>
      </c>
      <c r="M21">
        <v>2.3491317537068871E-4</v>
      </c>
      <c r="N21">
        <v>6.0900422242270277E-7</v>
      </c>
      <c r="O21">
        <v>-7.5799972582650801E-7</v>
      </c>
      <c r="P21">
        <v>6.8760107810117779E-6</v>
      </c>
      <c r="Q21">
        <v>2.9690422483959267E-5</v>
      </c>
      <c r="R21">
        <v>3.8858283343761618E-4</v>
      </c>
      <c r="S21">
        <v>3.4268457156244386E-4</v>
      </c>
      <c r="T21">
        <v>9.5223974376734133E-3</v>
      </c>
      <c r="U21">
        <v>9.7281629351604823E-3</v>
      </c>
      <c r="V21">
        <v>1.0488893493521247E-2</v>
      </c>
      <c r="W21">
        <v>-9.8946017757707533E-5</v>
      </c>
      <c r="X21">
        <v>5.9790635124114104E-5</v>
      </c>
      <c r="Y21">
        <v>2.2277332102221261E-4</v>
      </c>
      <c r="Z21">
        <v>1.8340106613537119E-4</v>
      </c>
      <c r="AA21">
        <v>1.8742471249998029E-4</v>
      </c>
      <c r="AB21">
        <v>1.9815396336195657E-4</v>
      </c>
      <c r="AC21">
        <v>2.1941490708388611E-4</v>
      </c>
      <c r="AD21">
        <v>1.5288878574628044E-4</v>
      </c>
      <c r="AE21">
        <v>1.37057547764692E-4</v>
      </c>
      <c r="AF21">
        <v>1.39001125833729E-4</v>
      </c>
      <c r="AG21">
        <v>3.0223559551967186E-4</v>
      </c>
      <c r="AH21">
        <v>2.1957722639147879E-4</v>
      </c>
      <c r="AI21">
        <v>1.3487912108069849E-4</v>
      </c>
      <c r="AJ21">
        <v>2.4572634924278913E-4</v>
      </c>
      <c r="AK21">
        <v>-1.6194626199355364E-6</v>
      </c>
      <c r="AL21">
        <v>1.9317542375881259E-5</v>
      </c>
      <c r="AM21">
        <v>5.050514500491406E-6</v>
      </c>
      <c r="AN21">
        <v>9.8559624526258632E-5</v>
      </c>
      <c r="AO21">
        <v>1.7255751433669243E-4</v>
      </c>
      <c r="AP21">
        <v>4.1911704902884706E-5</v>
      </c>
      <c r="AQ21">
        <v>-9.5114940302903316E-3</v>
      </c>
    </row>
    <row r="22" spans="1:43" x14ac:dyDescent="0.2">
      <c r="A22" t="s">
        <v>41</v>
      </c>
      <c r="B22">
        <v>-0.30535494861206036</v>
      </c>
      <c r="C22">
        <v>-4.6086985101988832E-5</v>
      </c>
      <c r="D22">
        <v>-2.0338289713813724E-6</v>
      </c>
      <c r="E22">
        <v>4.6946302475938015E-6</v>
      </c>
      <c r="F22">
        <v>-1.6466297417905273E-8</v>
      </c>
      <c r="G22">
        <v>1.5898011728230286E-7</v>
      </c>
      <c r="H22">
        <v>5.3700113452974689E-10</v>
      </c>
      <c r="I22">
        <v>1.3650467540881986E-6</v>
      </c>
      <c r="J22">
        <v>-1.7299560275923073E-5</v>
      </c>
      <c r="K22">
        <v>-9.8993823267839655E-7</v>
      </c>
      <c r="L22">
        <v>1.6035053607044355E-6</v>
      </c>
      <c r="M22">
        <v>-9.5068244009143151E-6</v>
      </c>
      <c r="N22">
        <v>-7.3361335606412602E-7</v>
      </c>
      <c r="O22">
        <v>1.8846951987691327E-7</v>
      </c>
      <c r="P22">
        <v>1.1448604218138574E-5</v>
      </c>
      <c r="Q22">
        <v>1.7000058280564328E-5</v>
      </c>
      <c r="R22">
        <v>1.3144970193461807E-5</v>
      </c>
      <c r="S22">
        <v>1.3842594708709828E-5</v>
      </c>
      <c r="T22">
        <v>-6.5216602353374177E-5</v>
      </c>
      <c r="U22">
        <v>-1.4627922902895186E-4</v>
      </c>
      <c r="V22">
        <v>-9.8946017757707533E-5</v>
      </c>
      <c r="W22">
        <v>4.5286939703003152E-4</v>
      </c>
      <c r="X22">
        <v>1.4320956059584236E-4</v>
      </c>
      <c r="Y22">
        <v>2.0761880180729191E-4</v>
      </c>
      <c r="Z22">
        <v>-8.1280107854471076E-6</v>
      </c>
      <c r="AA22">
        <v>-1.1530165906489074E-5</v>
      </c>
      <c r="AB22">
        <v>4.6807989871214077E-6</v>
      </c>
      <c r="AC22">
        <v>9.6452370406126904E-6</v>
      </c>
      <c r="AD22">
        <v>2.941449195569607E-6</v>
      </c>
      <c r="AE22">
        <v>-6.2729503890079403E-6</v>
      </c>
      <c r="AF22">
        <v>-7.5988379657781645E-7</v>
      </c>
      <c r="AG22">
        <v>-1.1191950456791852E-5</v>
      </c>
      <c r="AH22">
        <v>-1.7889035298268748E-6</v>
      </c>
      <c r="AI22">
        <v>2.323522721816879E-7</v>
      </c>
      <c r="AJ22">
        <v>-2.6902127572731195E-5</v>
      </c>
      <c r="AK22">
        <v>1.2684172032247249E-6</v>
      </c>
      <c r="AL22">
        <v>-6.2817791862060681E-6</v>
      </c>
      <c r="AM22">
        <v>1.4126519908855134E-6</v>
      </c>
      <c r="AN22">
        <v>-2.7005790870607735E-5</v>
      </c>
      <c r="AO22">
        <v>-6.7510292699930763E-6</v>
      </c>
      <c r="AP22">
        <v>-1.5651593242569831E-5</v>
      </c>
      <c r="AQ22">
        <v>-2.5557979863199308E-4</v>
      </c>
    </row>
    <row r="23" spans="1:43" x14ac:dyDescent="0.2">
      <c r="A23" t="s">
        <v>42</v>
      </c>
      <c r="B23">
        <v>-0.13030437425946467</v>
      </c>
      <c r="C23">
        <v>6.3737241146658919E-5</v>
      </c>
      <c r="D23">
        <v>2.5054274623650685E-5</v>
      </c>
      <c r="E23">
        <v>1.4166432687259661E-5</v>
      </c>
      <c r="F23">
        <v>-1.2477902956495852E-7</v>
      </c>
      <c r="G23">
        <v>5.1253061727309355E-7</v>
      </c>
      <c r="H23">
        <v>7.322587019708541E-7</v>
      </c>
      <c r="I23">
        <v>4.6657382723663811E-8</v>
      </c>
      <c r="J23">
        <v>2.7163127860556477E-6</v>
      </c>
      <c r="K23">
        <v>2.5335330936456983E-6</v>
      </c>
      <c r="L23">
        <v>1.8466097071414545E-6</v>
      </c>
      <c r="M23">
        <v>-2.1216916444877141E-5</v>
      </c>
      <c r="N23">
        <v>1.1111924367111639E-6</v>
      </c>
      <c r="O23">
        <v>4.8481987885650373E-9</v>
      </c>
      <c r="P23">
        <v>-1.7076422333173564E-5</v>
      </c>
      <c r="Q23">
        <v>-1.4933488234660469E-5</v>
      </c>
      <c r="R23">
        <v>-1.1373557507446317E-5</v>
      </c>
      <c r="S23">
        <v>-1.4335542790933108E-6</v>
      </c>
      <c r="T23">
        <v>2.886450701463099E-5</v>
      </c>
      <c r="U23">
        <v>2.0152670348333652E-5</v>
      </c>
      <c r="V23">
        <v>5.9790635124114104E-5</v>
      </c>
      <c r="W23">
        <v>1.4320956059584236E-4</v>
      </c>
      <c r="X23">
        <v>3.5565561799563158E-4</v>
      </c>
      <c r="Y23">
        <v>1.8626821000869952E-4</v>
      </c>
      <c r="Z23">
        <v>8.7828667219767256E-6</v>
      </c>
      <c r="AA23">
        <v>2.2256091816745733E-5</v>
      </c>
      <c r="AB23">
        <v>3.2140971927967471E-5</v>
      </c>
      <c r="AC23">
        <v>2.5938683372163525E-5</v>
      </c>
      <c r="AD23">
        <v>1.6040866160603272E-5</v>
      </c>
      <c r="AE23">
        <v>2.0590953008639443E-5</v>
      </c>
      <c r="AF23">
        <v>1.4816561403136803E-5</v>
      </c>
      <c r="AG23">
        <v>1.8789753276600288E-5</v>
      </c>
      <c r="AH23">
        <v>1.016859943611041E-5</v>
      </c>
      <c r="AI23">
        <v>5.4368522557579299E-6</v>
      </c>
      <c r="AJ23">
        <v>-1.9659999817111585E-5</v>
      </c>
      <c r="AK23">
        <v>1.8665299343655263E-7</v>
      </c>
      <c r="AL23">
        <v>-3.9555212853682701E-6</v>
      </c>
      <c r="AM23">
        <v>-1.0515833222590062E-6</v>
      </c>
      <c r="AN23">
        <v>1.1029473846119615E-5</v>
      </c>
      <c r="AO23">
        <v>-7.9395091624674164E-5</v>
      </c>
      <c r="AP23">
        <v>-3.7212925469760216E-5</v>
      </c>
      <c r="AQ23">
        <v>-6.4048500241159706E-4</v>
      </c>
    </row>
    <row r="24" spans="1:43" x14ac:dyDescent="0.2">
      <c r="A24" t="s">
        <v>43</v>
      </c>
      <c r="B24">
        <v>-0.39682531695226808</v>
      </c>
      <c r="C24">
        <v>-7.8446208379858833E-5</v>
      </c>
      <c r="D24">
        <v>7.9156897697050402E-5</v>
      </c>
      <c r="E24">
        <v>8.909276583961943E-6</v>
      </c>
      <c r="F24">
        <v>-5.029148893585042E-8</v>
      </c>
      <c r="G24">
        <v>6.2787073448289548E-7</v>
      </c>
      <c r="H24">
        <v>1.5254149560822768E-6</v>
      </c>
      <c r="I24">
        <v>-1.006610329615654E-5</v>
      </c>
      <c r="J24">
        <v>1.6486459645724414E-5</v>
      </c>
      <c r="K24">
        <v>5.4825842111082206E-6</v>
      </c>
      <c r="L24">
        <v>-8.7283348171078547E-6</v>
      </c>
      <c r="M24">
        <v>-1.2570992298374325E-5</v>
      </c>
      <c r="N24">
        <v>2.9429770862559252E-7</v>
      </c>
      <c r="O24">
        <v>-6.7861456496177547E-7</v>
      </c>
      <c r="P24">
        <v>2.051125714599673E-5</v>
      </c>
      <c r="Q24">
        <v>4.1054701070935507E-5</v>
      </c>
      <c r="R24">
        <v>-4.0976372089729656E-5</v>
      </c>
      <c r="S24">
        <v>-2.9605523291431561E-5</v>
      </c>
      <c r="T24">
        <v>1.6477356290639641E-4</v>
      </c>
      <c r="U24">
        <v>1.2035350547758158E-4</v>
      </c>
      <c r="V24">
        <v>2.2277332102221261E-4</v>
      </c>
      <c r="W24">
        <v>2.0761880180729191E-4</v>
      </c>
      <c r="X24">
        <v>1.8626821000869952E-4</v>
      </c>
      <c r="Y24">
        <v>1.7441813069556734E-3</v>
      </c>
      <c r="Z24">
        <v>3.5563679604393199E-5</v>
      </c>
      <c r="AA24">
        <v>2.6481720335463823E-5</v>
      </c>
      <c r="AB24">
        <v>2.488000068631127E-5</v>
      </c>
      <c r="AC24">
        <v>4.2008507234000091E-5</v>
      </c>
      <c r="AD24">
        <v>8.3035817188517505E-6</v>
      </c>
      <c r="AE24">
        <v>3.1781868428906084E-5</v>
      </c>
      <c r="AF24">
        <v>1.9585030899979498E-5</v>
      </c>
      <c r="AG24">
        <v>2.222050876613362E-5</v>
      </c>
      <c r="AH24">
        <v>5.0565576058972145E-5</v>
      </c>
      <c r="AI24">
        <v>-3.2411983266712394E-7</v>
      </c>
      <c r="AJ24">
        <v>-3.0910563450807591E-5</v>
      </c>
      <c r="AK24">
        <v>7.4066025834477968E-7</v>
      </c>
      <c r="AL24">
        <v>-7.5593204123958275E-7</v>
      </c>
      <c r="AM24">
        <v>9.2797832262337273E-6</v>
      </c>
      <c r="AN24">
        <v>2.2139466005958823E-5</v>
      </c>
      <c r="AO24">
        <v>-1.977759638881038E-4</v>
      </c>
      <c r="AP24">
        <v>-4.214803950245284E-5</v>
      </c>
      <c r="AQ24">
        <v>-7.8973286251547811E-4</v>
      </c>
    </row>
    <row r="25" spans="1:43" x14ac:dyDescent="0.2">
      <c r="A25" t="s">
        <v>85</v>
      </c>
      <c r="B25">
        <v>-0.17402419346224465</v>
      </c>
      <c r="C25">
        <v>-1.1421268311126803E-4</v>
      </c>
      <c r="D25">
        <v>-1.8098109258705573E-7</v>
      </c>
      <c r="E25">
        <v>-1.5545961291235958E-6</v>
      </c>
      <c r="F25">
        <v>1.3240508861792941E-8</v>
      </c>
      <c r="G25">
        <v>4.0309043035904691E-7</v>
      </c>
      <c r="H25">
        <v>5.2327896348422476E-7</v>
      </c>
      <c r="I25">
        <v>-6.1015386470858185E-7</v>
      </c>
      <c r="J25">
        <v>2.376120523868376E-5</v>
      </c>
      <c r="K25">
        <v>-2.2594282908243416E-7</v>
      </c>
      <c r="L25">
        <v>4.218413343670468E-6</v>
      </c>
      <c r="M25">
        <v>1.0670760296230779E-4</v>
      </c>
      <c r="N25">
        <v>-2.3445736977436121E-7</v>
      </c>
      <c r="O25">
        <v>3.2841494272040776E-7</v>
      </c>
      <c r="P25">
        <v>-1.2448138000114254E-5</v>
      </c>
      <c r="Q25">
        <v>7.3247729906167224E-6</v>
      </c>
      <c r="R25">
        <v>-1.6730646164337678E-5</v>
      </c>
      <c r="S25">
        <v>-3.7699873412436836E-5</v>
      </c>
      <c r="T25">
        <v>1.8896974111496431E-4</v>
      </c>
      <c r="U25">
        <v>1.7123697341876656E-4</v>
      </c>
      <c r="V25">
        <v>1.8340106613537119E-4</v>
      </c>
      <c r="W25">
        <v>-8.1280107854471076E-6</v>
      </c>
      <c r="X25">
        <v>8.7828667219767256E-6</v>
      </c>
      <c r="Y25">
        <v>3.5563679604393199E-5</v>
      </c>
      <c r="Z25">
        <v>2.2643089397942776E-3</v>
      </c>
      <c r="AA25">
        <v>9.0310845592753803E-4</v>
      </c>
      <c r="AB25">
        <v>8.9733440730336319E-4</v>
      </c>
      <c r="AC25">
        <v>8.9944013357280586E-4</v>
      </c>
      <c r="AD25">
        <v>8.8313607504135537E-4</v>
      </c>
      <c r="AE25">
        <v>8.983595778843099E-4</v>
      </c>
      <c r="AF25">
        <v>8.9586124247047661E-4</v>
      </c>
      <c r="AG25">
        <v>9.1096174142995243E-4</v>
      </c>
      <c r="AH25">
        <v>9.1049257266129376E-4</v>
      </c>
      <c r="AI25">
        <v>9.0607878208659475E-4</v>
      </c>
      <c r="AJ25">
        <v>9.1105323496967858E-4</v>
      </c>
      <c r="AK25">
        <v>-1.984357029991319E-6</v>
      </c>
      <c r="AL25">
        <v>9.9274012170057705E-6</v>
      </c>
      <c r="AM25">
        <v>1.9729669493177721E-5</v>
      </c>
      <c r="AN25">
        <v>3.0485475135634706E-4</v>
      </c>
      <c r="AO25">
        <v>5.6040127160936182E-4</v>
      </c>
      <c r="AP25">
        <v>2.9124072486603396E-4</v>
      </c>
      <c r="AQ25">
        <v>-1.0574170273141854E-3</v>
      </c>
    </row>
    <row r="26" spans="1:43" x14ac:dyDescent="0.2">
      <c r="A26" t="s">
        <v>86</v>
      </c>
      <c r="B26">
        <v>-0.12128350374323137</v>
      </c>
      <c r="C26">
        <v>-7.1157356876327992E-5</v>
      </c>
      <c r="D26">
        <v>9.1584062679809093E-7</v>
      </c>
      <c r="E26">
        <v>3.4846522937060243E-7</v>
      </c>
      <c r="F26">
        <v>-9.555898684657562E-11</v>
      </c>
      <c r="G26">
        <v>7.322511954747779E-7</v>
      </c>
      <c r="H26">
        <v>2.5450904439067112E-7</v>
      </c>
      <c r="I26">
        <v>-2.4822859550266188E-6</v>
      </c>
      <c r="J26">
        <v>2.5189476483620198E-5</v>
      </c>
      <c r="K26">
        <v>1.8038922624552149E-8</v>
      </c>
      <c r="L26">
        <v>1.9464843245726656E-6</v>
      </c>
      <c r="M26">
        <v>4.7168488882504852E-5</v>
      </c>
      <c r="N26">
        <v>-4.9349294092635528E-7</v>
      </c>
      <c r="O26">
        <v>6.2203399019745607E-7</v>
      </c>
      <c r="P26">
        <v>-7.1139865647391006E-6</v>
      </c>
      <c r="Q26">
        <v>5.9951716691633167E-6</v>
      </c>
      <c r="R26">
        <v>-1.8053068687877731E-5</v>
      </c>
      <c r="S26">
        <v>-3.1161016461960384E-5</v>
      </c>
      <c r="T26">
        <v>2.1835060745557062E-4</v>
      </c>
      <c r="U26">
        <v>2.3016645610858793E-4</v>
      </c>
      <c r="V26">
        <v>1.8742471249998029E-4</v>
      </c>
      <c r="W26">
        <v>-1.1530165906489074E-5</v>
      </c>
      <c r="X26">
        <v>2.2256091816745733E-5</v>
      </c>
      <c r="Y26">
        <v>2.6481720335463823E-5</v>
      </c>
      <c r="Z26">
        <v>9.0310845592753803E-4</v>
      </c>
      <c r="AA26">
        <v>1.4286983240957268E-3</v>
      </c>
      <c r="AB26">
        <v>8.8926669322619703E-4</v>
      </c>
      <c r="AC26">
        <v>8.9186031489104419E-4</v>
      </c>
      <c r="AD26">
        <v>8.7592761319475179E-4</v>
      </c>
      <c r="AE26">
        <v>8.8912185411024356E-4</v>
      </c>
      <c r="AF26">
        <v>8.8681786621072449E-4</v>
      </c>
      <c r="AG26">
        <v>9.0126091701888148E-4</v>
      </c>
      <c r="AH26">
        <v>9.0048425485612297E-4</v>
      </c>
      <c r="AI26">
        <v>8.9519580782698803E-4</v>
      </c>
      <c r="AJ26">
        <v>8.9801270166897738E-4</v>
      </c>
      <c r="AK26">
        <v>-1.8397084860085694E-6</v>
      </c>
      <c r="AL26">
        <v>1.0938814995463267E-6</v>
      </c>
      <c r="AM26">
        <v>1.3793627208298123E-5</v>
      </c>
      <c r="AN26">
        <v>2.523001039698121E-4</v>
      </c>
      <c r="AO26">
        <v>5.254177681659997E-4</v>
      </c>
      <c r="AP26">
        <v>2.6522480373667964E-4</v>
      </c>
      <c r="AQ26">
        <v>-1.1253061769329728E-3</v>
      </c>
    </row>
    <row r="27" spans="1:43" x14ac:dyDescent="0.2">
      <c r="A27" t="s">
        <v>87</v>
      </c>
      <c r="B27">
        <v>-3.4357756851294219E-2</v>
      </c>
      <c r="C27">
        <v>-9.5827275323271793E-5</v>
      </c>
      <c r="D27">
        <v>1.3378983637401328E-6</v>
      </c>
      <c r="E27">
        <v>9.6370427077865559E-7</v>
      </c>
      <c r="F27">
        <v>-5.6011919665600723E-9</v>
      </c>
      <c r="G27">
        <v>9.7215629750714145E-7</v>
      </c>
      <c r="H27">
        <v>-3.9829251870579976E-8</v>
      </c>
      <c r="I27">
        <v>-1.6666009619940184E-6</v>
      </c>
      <c r="J27">
        <v>2.4911754951852897E-5</v>
      </c>
      <c r="K27">
        <v>9.4711691161359219E-7</v>
      </c>
      <c r="L27">
        <v>2.0439802341405714E-6</v>
      </c>
      <c r="M27">
        <v>5.5776550242128841E-5</v>
      </c>
      <c r="N27">
        <v>-6.3108980518844953E-7</v>
      </c>
      <c r="O27">
        <v>1.7628717897282795E-6</v>
      </c>
      <c r="P27">
        <v>-9.0234872931288706E-6</v>
      </c>
      <c r="Q27">
        <v>3.5660976870716779E-6</v>
      </c>
      <c r="R27">
        <v>-1.1002198336874513E-5</v>
      </c>
      <c r="S27">
        <v>-2.6958527843214472E-5</v>
      </c>
      <c r="T27">
        <v>2.1371343751937525E-4</v>
      </c>
      <c r="U27">
        <v>1.9396031790510455E-4</v>
      </c>
      <c r="V27">
        <v>1.9815396336195657E-4</v>
      </c>
      <c r="W27">
        <v>4.6807989871214077E-6</v>
      </c>
      <c r="X27">
        <v>3.2140971927967471E-5</v>
      </c>
      <c r="Y27">
        <v>2.488000068631127E-5</v>
      </c>
      <c r="Z27">
        <v>8.9733440730336319E-4</v>
      </c>
      <c r="AA27">
        <v>8.8926669322619703E-4</v>
      </c>
      <c r="AB27">
        <v>1.4913215615788176E-3</v>
      </c>
      <c r="AC27">
        <v>8.8631088975783888E-4</v>
      </c>
      <c r="AD27">
        <v>8.6986166263652235E-4</v>
      </c>
      <c r="AE27">
        <v>8.8315450304416842E-4</v>
      </c>
      <c r="AF27">
        <v>8.8067154697493819E-4</v>
      </c>
      <c r="AG27">
        <v>8.9432207640550965E-4</v>
      </c>
      <c r="AH27">
        <v>8.942736252091181E-4</v>
      </c>
      <c r="AI27">
        <v>8.8796443298773094E-4</v>
      </c>
      <c r="AJ27">
        <v>8.912258601282046E-4</v>
      </c>
      <c r="AK27">
        <v>-3.0385742748671827E-6</v>
      </c>
      <c r="AL27">
        <v>6.8887736221482488E-6</v>
      </c>
      <c r="AM27">
        <v>1.6383487060963524E-5</v>
      </c>
      <c r="AN27">
        <v>2.369143432670922E-4</v>
      </c>
      <c r="AO27">
        <v>5.1523367458186425E-4</v>
      </c>
      <c r="AP27">
        <v>2.4098535703641021E-4</v>
      </c>
      <c r="AQ27">
        <v>-1.1255392383442515E-3</v>
      </c>
    </row>
    <row r="28" spans="1:43" x14ac:dyDescent="0.2">
      <c r="A28" t="s">
        <v>88</v>
      </c>
      <c r="B28">
        <v>9.4813364242088222E-2</v>
      </c>
      <c r="C28">
        <v>-7.5239724229961161E-5</v>
      </c>
      <c r="D28">
        <v>-6.1549162901485964E-6</v>
      </c>
      <c r="E28">
        <v>4.9853983264366207E-7</v>
      </c>
      <c r="F28">
        <v>-6.8625413904168109E-10</v>
      </c>
      <c r="G28">
        <v>7.6287224244805738E-7</v>
      </c>
      <c r="H28">
        <v>-7.1370330880431049E-8</v>
      </c>
      <c r="I28">
        <v>-8.9009357384786838E-7</v>
      </c>
      <c r="J28">
        <v>2.6615447600549143E-5</v>
      </c>
      <c r="K28">
        <v>5.7845817418304186E-7</v>
      </c>
      <c r="L28">
        <v>3.6443197522459899E-6</v>
      </c>
      <c r="M28">
        <v>5.4915695217863433E-5</v>
      </c>
      <c r="N28">
        <v>-1.5214710728784933E-6</v>
      </c>
      <c r="O28">
        <v>1.5216618815240736E-6</v>
      </c>
      <c r="P28">
        <v>-9.512665358645353E-6</v>
      </c>
      <c r="Q28">
        <v>6.900843350194555E-6</v>
      </c>
      <c r="R28">
        <v>-3.8575766730614846E-5</v>
      </c>
      <c r="S28">
        <v>-3.5302385877398985E-5</v>
      </c>
      <c r="T28">
        <v>2.4555890700381265E-4</v>
      </c>
      <c r="U28">
        <v>2.3804794736008179E-4</v>
      </c>
      <c r="V28">
        <v>2.1941490708388611E-4</v>
      </c>
      <c r="W28">
        <v>9.6452370406126904E-6</v>
      </c>
      <c r="X28">
        <v>2.5938683372163525E-5</v>
      </c>
      <c r="Y28">
        <v>4.2008507234000091E-5</v>
      </c>
      <c r="Z28">
        <v>8.9944013357280586E-4</v>
      </c>
      <c r="AA28">
        <v>8.9186031489104419E-4</v>
      </c>
      <c r="AB28">
        <v>8.8631088975783888E-4</v>
      </c>
      <c r="AC28">
        <v>1.5652144882545417E-3</v>
      </c>
      <c r="AD28">
        <v>8.7481296303847469E-4</v>
      </c>
      <c r="AE28">
        <v>8.8503657092180426E-4</v>
      </c>
      <c r="AF28">
        <v>8.8401025574384728E-4</v>
      </c>
      <c r="AG28">
        <v>8.9823143492214115E-4</v>
      </c>
      <c r="AH28">
        <v>8.9689700354043164E-4</v>
      </c>
      <c r="AI28">
        <v>8.8952586659793952E-4</v>
      </c>
      <c r="AJ28">
        <v>8.9419302546112295E-4</v>
      </c>
      <c r="AK28">
        <v>-2.7818918714079296E-6</v>
      </c>
      <c r="AL28">
        <v>4.3352930936807206E-6</v>
      </c>
      <c r="AM28">
        <v>6.2732979937059329E-6</v>
      </c>
      <c r="AN28">
        <v>2.4336525922621566E-4</v>
      </c>
      <c r="AO28">
        <v>5.1586904643527443E-4</v>
      </c>
      <c r="AP28">
        <v>2.3032089079692776E-4</v>
      </c>
      <c r="AQ28">
        <v>-1.1168146127275096E-3</v>
      </c>
    </row>
    <row r="29" spans="1:43" x14ac:dyDescent="0.2">
      <c r="A29" t="s">
        <v>89</v>
      </c>
      <c r="B29">
        <v>6.6533643633439624E-2</v>
      </c>
      <c r="C29">
        <v>-9.2088124658900244E-5</v>
      </c>
      <c r="D29">
        <v>-8.3535787507947991E-7</v>
      </c>
      <c r="E29">
        <v>8.3669657005956422E-7</v>
      </c>
      <c r="F29">
        <v>-4.3068129241963713E-9</v>
      </c>
      <c r="G29">
        <v>7.0061153935732524E-7</v>
      </c>
      <c r="H29">
        <v>3.6730068650846373E-7</v>
      </c>
      <c r="I29">
        <v>-2.4152703068587669E-6</v>
      </c>
      <c r="J29">
        <v>1.8708319209363624E-5</v>
      </c>
      <c r="K29">
        <v>9.6692215430615975E-8</v>
      </c>
      <c r="L29">
        <v>1.340830917743538E-6</v>
      </c>
      <c r="M29">
        <v>7.449618574829111E-5</v>
      </c>
      <c r="N29">
        <v>-1.2780145405637458E-6</v>
      </c>
      <c r="O29">
        <v>1.5831826287317503E-6</v>
      </c>
      <c r="P29">
        <v>-5.9537375077286314E-6</v>
      </c>
      <c r="Q29">
        <v>9.4832944414215013E-6</v>
      </c>
      <c r="R29">
        <v>-3.7146697181528627E-5</v>
      </c>
      <c r="S29">
        <v>-2.4274527796574774E-5</v>
      </c>
      <c r="T29">
        <v>1.7184024581455137E-4</v>
      </c>
      <c r="U29">
        <v>1.6809440923202493E-4</v>
      </c>
      <c r="V29">
        <v>1.5288878574628044E-4</v>
      </c>
      <c r="W29">
        <v>2.941449195569607E-6</v>
      </c>
      <c r="X29">
        <v>1.6040866160603272E-5</v>
      </c>
      <c r="Y29">
        <v>8.3035817188517505E-6</v>
      </c>
      <c r="Z29">
        <v>8.8313607504135537E-4</v>
      </c>
      <c r="AA29">
        <v>8.7592761319475179E-4</v>
      </c>
      <c r="AB29">
        <v>8.6986166263652235E-4</v>
      </c>
      <c r="AC29">
        <v>8.7481296303847469E-4</v>
      </c>
      <c r="AD29">
        <v>1.5977305397011214E-3</v>
      </c>
      <c r="AE29">
        <v>8.6968273625550826E-4</v>
      </c>
      <c r="AF29">
        <v>8.6803634783542483E-4</v>
      </c>
      <c r="AG29">
        <v>8.838138040389293E-4</v>
      </c>
      <c r="AH29">
        <v>8.8102256184498262E-4</v>
      </c>
      <c r="AI29">
        <v>8.7488123992461846E-4</v>
      </c>
      <c r="AJ29">
        <v>8.799339525821971E-4</v>
      </c>
      <c r="AK29">
        <v>-2.0652730466941835E-6</v>
      </c>
      <c r="AL29">
        <v>9.489797542101793E-6</v>
      </c>
      <c r="AM29">
        <v>1.7624585144205753E-5</v>
      </c>
      <c r="AN29">
        <v>1.9245179456494309E-4</v>
      </c>
      <c r="AO29">
        <v>4.734683840111786E-4</v>
      </c>
      <c r="AP29">
        <v>2.2264876305594955E-4</v>
      </c>
      <c r="AQ29">
        <v>-1.0691269010275485E-3</v>
      </c>
    </row>
    <row r="30" spans="1:43" x14ac:dyDescent="0.2">
      <c r="A30" t="s">
        <v>90</v>
      </c>
      <c r="B30">
        <v>0.12162850563587872</v>
      </c>
      <c r="C30">
        <v>-1.0053749928422593E-4</v>
      </c>
      <c r="D30">
        <v>-7.1303797812885517E-6</v>
      </c>
      <c r="E30">
        <v>5.8390579298516398E-7</v>
      </c>
      <c r="F30">
        <v>-5.2950621223912932E-9</v>
      </c>
      <c r="G30">
        <v>3.8823774546338204E-7</v>
      </c>
      <c r="H30">
        <v>3.5085484971564745E-8</v>
      </c>
      <c r="I30">
        <v>-8.7829517724207492E-7</v>
      </c>
      <c r="J30">
        <v>1.7843590935979591E-5</v>
      </c>
      <c r="K30">
        <v>-5.6366009029572468E-7</v>
      </c>
      <c r="L30">
        <v>2.0449792555180764E-6</v>
      </c>
      <c r="M30">
        <v>7.9942688338663969E-5</v>
      </c>
      <c r="N30">
        <v>-8.7018536049072937E-7</v>
      </c>
      <c r="O30">
        <v>1.5568605010509571E-6</v>
      </c>
      <c r="P30">
        <v>-9.5115129037034899E-6</v>
      </c>
      <c r="Q30">
        <v>4.8344269820945057E-6</v>
      </c>
      <c r="R30">
        <v>-3.0306190342294488E-5</v>
      </c>
      <c r="S30">
        <v>-3.6676749646561731E-5</v>
      </c>
      <c r="T30">
        <v>1.4792372966864658E-4</v>
      </c>
      <c r="U30">
        <v>1.4335718777978455E-4</v>
      </c>
      <c r="V30">
        <v>1.37057547764692E-4</v>
      </c>
      <c r="W30">
        <v>-6.2729503890079403E-6</v>
      </c>
      <c r="X30">
        <v>2.0590953008639443E-5</v>
      </c>
      <c r="Y30">
        <v>3.1781868428906084E-5</v>
      </c>
      <c r="Z30">
        <v>8.983595778843099E-4</v>
      </c>
      <c r="AA30">
        <v>8.8912185411024356E-4</v>
      </c>
      <c r="AB30">
        <v>8.8315450304416842E-4</v>
      </c>
      <c r="AC30">
        <v>8.8503657092180426E-4</v>
      </c>
      <c r="AD30">
        <v>8.6968273625550826E-4</v>
      </c>
      <c r="AE30">
        <v>1.4633035106260926E-3</v>
      </c>
      <c r="AF30">
        <v>8.8040761073694175E-4</v>
      </c>
      <c r="AG30">
        <v>8.9511123946401001E-4</v>
      </c>
      <c r="AH30">
        <v>8.9356412107554684E-4</v>
      </c>
      <c r="AI30">
        <v>8.8777698926057109E-4</v>
      </c>
      <c r="AJ30">
        <v>8.869126436547017E-4</v>
      </c>
      <c r="AK30">
        <v>-1.7303416741255146E-6</v>
      </c>
      <c r="AL30">
        <v>-6.0571454189304727E-6</v>
      </c>
      <c r="AM30">
        <v>8.596310293659616E-6</v>
      </c>
      <c r="AN30">
        <v>2.7940606108826758E-4</v>
      </c>
      <c r="AO30">
        <v>4.9217002204160628E-4</v>
      </c>
      <c r="AP30">
        <v>2.4546511861882347E-4</v>
      </c>
      <c r="AQ30">
        <v>-1.0211228673796618E-3</v>
      </c>
    </row>
    <row r="31" spans="1:43" x14ac:dyDescent="0.2">
      <c r="A31" t="s">
        <v>91</v>
      </c>
      <c r="B31">
        <v>0.14850303172955959</v>
      </c>
      <c r="C31">
        <v>-7.2673065498201115E-5</v>
      </c>
      <c r="D31">
        <v>1.7914994149039598E-6</v>
      </c>
      <c r="E31">
        <v>-9.6135341552733891E-8</v>
      </c>
      <c r="F31">
        <v>1.7991213324540962E-9</v>
      </c>
      <c r="G31">
        <v>-3.3776980628881994E-7</v>
      </c>
      <c r="H31">
        <v>2.4351785902068959E-8</v>
      </c>
      <c r="I31">
        <v>-8.2109043944225285E-7</v>
      </c>
      <c r="J31">
        <v>1.8181270113550838E-5</v>
      </c>
      <c r="K31">
        <v>-1.2217770953684927E-7</v>
      </c>
      <c r="L31">
        <v>1.5514434767175968E-6</v>
      </c>
      <c r="M31">
        <v>3.0729973177551325E-5</v>
      </c>
      <c r="N31">
        <v>-6.5570018805001409E-7</v>
      </c>
      <c r="O31">
        <v>1.458832036862225E-6</v>
      </c>
      <c r="P31">
        <v>-1.1056774850100078E-5</v>
      </c>
      <c r="Q31">
        <v>3.5847987254438913E-6</v>
      </c>
      <c r="R31">
        <v>-9.50106399962216E-6</v>
      </c>
      <c r="S31">
        <v>-2.1672540264363851E-5</v>
      </c>
      <c r="T31">
        <v>1.4542350183799932E-4</v>
      </c>
      <c r="U31">
        <v>1.5884348050191374E-4</v>
      </c>
      <c r="V31">
        <v>1.39001125833729E-4</v>
      </c>
      <c r="W31">
        <v>-7.5988379657781645E-7</v>
      </c>
      <c r="X31">
        <v>1.4816561403136803E-5</v>
      </c>
      <c r="Y31">
        <v>1.9585030899979498E-5</v>
      </c>
      <c r="Z31">
        <v>8.9586124247047661E-4</v>
      </c>
      <c r="AA31">
        <v>8.8681786621072449E-4</v>
      </c>
      <c r="AB31">
        <v>8.8067154697493819E-4</v>
      </c>
      <c r="AC31">
        <v>8.8401025574384728E-4</v>
      </c>
      <c r="AD31">
        <v>8.6803634783542483E-4</v>
      </c>
      <c r="AE31">
        <v>8.8040761073694175E-4</v>
      </c>
      <c r="AF31">
        <v>1.3488700679471189E-3</v>
      </c>
      <c r="AG31">
        <v>8.9382039600935425E-4</v>
      </c>
      <c r="AH31">
        <v>8.9276450717979327E-4</v>
      </c>
      <c r="AI31">
        <v>8.8817265161503386E-4</v>
      </c>
      <c r="AJ31">
        <v>8.9105058096489642E-4</v>
      </c>
      <c r="AK31">
        <v>-7.7964028481904797E-7</v>
      </c>
      <c r="AL31">
        <v>1.4171887229980768E-6</v>
      </c>
      <c r="AM31">
        <v>7.9666233215398246E-6</v>
      </c>
      <c r="AN31">
        <v>2.5865387585751549E-4</v>
      </c>
      <c r="AO31">
        <v>5.1061709621797271E-4</v>
      </c>
      <c r="AP31">
        <v>2.3535096587104891E-4</v>
      </c>
      <c r="AQ31">
        <v>-1.0071927157131464E-3</v>
      </c>
    </row>
    <row r="32" spans="1:43" x14ac:dyDescent="0.2">
      <c r="A32" t="s">
        <v>92</v>
      </c>
      <c r="B32">
        <v>0.11370426760559864</v>
      </c>
      <c r="C32">
        <v>-8.2670601835320125E-5</v>
      </c>
      <c r="D32">
        <v>7.4404253120500337E-7</v>
      </c>
      <c r="E32">
        <v>-8.0639143352933987E-7</v>
      </c>
      <c r="F32">
        <v>3.0691215779279608E-9</v>
      </c>
      <c r="G32">
        <v>2.3554076066990921E-7</v>
      </c>
      <c r="H32">
        <v>2.0164206012617615E-7</v>
      </c>
      <c r="I32">
        <v>-2.078995580454005E-6</v>
      </c>
      <c r="J32">
        <v>3.4587132706842029E-5</v>
      </c>
      <c r="K32">
        <v>8.4107439391289235E-7</v>
      </c>
      <c r="L32">
        <v>3.20239959154003E-7</v>
      </c>
      <c r="M32">
        <v>5.0772921797149917E-5</v>
      </c>
      <c r="N32">
        <v>-1.0618184234114202E-6</v>
      </c>
      <c r="O32">
        <v>1.3062011391726205E-6</v>
      </c>
      <c r="P32">
        <v>-9.1477461978018034E-6</v>
      </c>
      <c r="Q32">
        <v>1.2283311947706386E-5</v>
      </c>
      <c r="R32">
        <v>-1.7748418167556673E-5</v>
      </c>
      <c r="S32">
        <v>-3.4440891761421355E-5</v>
      </c>
      <c r="T32">
        <v>2.9821692496713155E-4</v>
      </c>
      <c r="U32">
        <v>2.8208813829630258E-4</v>
      </c>
      <c r="V32">
        <v>3.0223559551967186E-4</v>
      </c>
      <c r="W32">
        <v>-1.1191950456791852E-5</v>
      </c>
      <c r="X32">
        <v>1.8789753276600288E-5</v>
      </c>
      <c r="Y32">
        <v>2.222050876613362E-5</v>
      </c>
      <c r="Z32">
        <v>9.1096174142995243E-4</v>
      </c>
      <c r="AA32">
        <v>9.0126091701888148E-4</v>
      </c>
      <c r="AB32">
        <v>8.9432207640550965E-4</v>
      </c>
      <c r="AC32">
        <v>8.9823143492214115E-4</v>
      </c>
      <c r="AD32">
        <v>8.838138040389293E-4</v>
      </c>
      <c r="AE32">
        <v>8.9511123946401001E-4</v>
      </c>
      <c r="AF32">
        <v>8.9382039600935425E-4</v>
      </c>
      <c r="AG32">
        <v>1.5200451191219315E-3</v>
      </c>
      <c r="AH32">
        <v>9.0776444736743165E-4</v>
      </c>
      <c r="AI32">
        <v>9.0213012386210342E-4</v>
      </c>
      <c r="AJ32">
        <v>9.0582790537099204E-4</v>
      </c>
      <c r="AK32">
        <v>-1.8129518130413495E-6</v>
      </c>
      <c r="AL32">
        <v>-6.9670767919646765E-7</v>
      </c>
      <c r="AM32">
        <v>6.7746798338802778E-6</v>
      </c>
      <c r="AN32">
        <v>2.9393106906351352E-4</v>
      </c>
      <c r="AO32">
        <v>5.4483097904385949E-4</v>
      </c>
      <c r="AP32">
        <v>2.5048500661763054E-4</v>
      </c>
      <c r="AQ32">
        <v>-1.1403520830044821E-3</v>
      </c>
    </row>
    <row r="33" spans="1:43" x14ac:dyDescent="0.2">
      <c r="A33" t="s">
        <v>93</v>
      </c>
      <c r="B33">
        <v>-0.18926674454548678</v>
      </c>
      <c r="C33">
        <v>-9.8637385516058581E-5</v>
      </c>
      <c r="D33">
        <v>-2.1933938398755045E-6</v>
      </c>
      <c r="E33">
        <v>-1.2564621899474094E-7</v>
      </c>
      <c r="F33">
        <v>-2.1816307332962421E-9</v>
      </c>
      <c r="G33">
        <v>9.2887171548562485E-7</v>
      </c>
      <c r="H33">
        <v>3.8092463730150851E-7</v>
      </c>
      <c r="I33">
        <v>-7.7537424626279005E-7</v>
      </c>
      <c r="J33">
        <v>2.7140886182237334E-5</v>
      </c>
      <c r="K33">
        <v>4.7879081452415363E-8</v>
      </c>
      <c r="L33">
        <v>2.7589313642292798E-6</v>
      </c>
      <c r="M33">
        <v>5.9783750706806865E-5</v>
      </c>
      <c r="N33">
        <v>-5.3198757825817627E-7</v>
      </c>
      <c r="O33">
        <v>1.0466652395878852E-6</v>
      </c>
      <c r="P33">
        <v>-9.8158814191639406E-6</v>
      </c>
      <c r="Q33">
        <v>2.6397729919573078E-6</v>
      </c>
      <c r="R33">
        <v>-2.4836544990257219E-5</v>
      </c>
      <c r="S33">
        <v>-3.721189573157094E-5</v>
      </c>
      <c r="T33">
        <v>2.2722927632010202E-4</v>
      </c>
      <c r="U33">
        <v>2.3066574085804821E-4</v>
      </c>
      <c r="V33">
        <v>2.1957722639147879E-4</v>
      </c>
      <c r="W33">
        <v>-1.7889035298268748E-6</v>
      </c>
      <c r="X33">
        <v>1.016859943611041E-5</v>
      </c>
      <c r="Y33">
        <v>5.0565576058972145E-5</v>
      </c>
      <c r="Z33">
        <v>9.1049257266129376E-4</v>
      </c>
      <c r="AA33">
        <v>9.0048425485612297E-4</v>
      </c>
      <c r="AB33">
        <v>8.942736252091181E-4</v>
      </c>
      <c r="AC33">
        <v>8.9689700354043164E-4</v>
      </c>
      <c r="AD33">
        <v>8.8102256184498262E-4</v>
      </c>
      <c r="AE33">
        <v>8.9356412107554684E-4</v>
      </c>
      <c r="AF33">
        <v>8.9276450717979327E-4</v>
      </c>
      <c r="AG33">
        <v>9.0776444736743165E-4</v>
      </c>
      <c r="AH33">
        <v>1.743209420334763E-3</v>
      </c>
      <c r="AI33">
        <v>9.0149089014114896E-4</v>
      </c>
      <c r="AJ33">
        <v>9.0674644931776024E-4</v>
      </c>
      <c r="AK33">
        <v>-1.0184026088739021E-7</v>
      </c>
      <c r="AL33">
        <v>-9.9743949189760049E-6</v>
      </c>
      <c r="AM33">
        <v>6.7626303773453961E-7</v>
      </c>
      <c r="AN33">
        <v>2.7632824816781524E-4</v>
      </c>
      <c r="AO33">
        <v>5.4682529674268102E-4</v>
      </c>
      <c r="AP33">
        <v>2.668521006553477E-4</v>
      </c>
      <c r="AQ33">
        <v>-1.1613047151110565E-3</v>
      </c>
    </row>
    <row r="34" spans="1:43" x14ac:dyDescent="0.2">
      <c r="A34" t="s">
        <v>94</v>
      </c>
      <c r="B34">
        <v>-0.21975640116868142</v>
      </c>
      <c r="C34">
        <v>-8.7011230736955215E-5</v>
      </c>
      <c r="D34">
        <v>-3.7691569786729777E-6</v>
      </c>
      <c r="E34">
        <v>-2.320453648360147E-6</v>
      </c>
      <c r="F34">
        <v>2.1199968749849463E-8</v>
      </c>
      <c r="G34">
        <v>5.4306239848324935E-7</v>
      </c>
      <c r="H34">
        <v>-2.471867689561488E-7</v>
      </c>
      <c r="I34">
        <v>-8.0196696430373746E-7</v>
      </c>
      <c r="J34">
        <v>1.8037605089667218E-5</v>
      </c>
      <c r="K34">
        <v>-1.901749454312833E-7</v>
      </c>
      <c r="L34">
        <v>2.4082997162288256E-6</v>
      </c>
      <c r="M34">
        <v>6.339620792485805E-5</v>
      </c>
      <c r="N34">
        <v>-1.3391941829081007E-6</v>
      </c>
      <c r="O34">
        <v>2.1339272873452671E-6</v>
      </c>
      <c r="P34">
        <v>-1.5948848489041499E-5</v>
      </c>
      <c r="Q34">
        <v>8.1950305145359244E-6</v>
      </c>
      <c r="R34">
        <v>5.2629652203172112E-6</v>
      </c>
      <c r="S34">
        <v>-2.5397873193035592E-5</v>
      </c>
      <c r="T34">
        <v>1.3605770031667377E-4</v>
      </c>
      <c r="U34">
        <v>1.3618446540701341E-4</v>
      </c>
      <c r="V34">
        <v>1.3487912108069849E-4</v>
      </c>
      <c r="W34">
        <v>2.323522721816879E-7</v>
      </c>
      <c r="X34">
        <v>5.4368522557579299E-6</v>
      </c>
      <c r="Y34">
        <v>-3.2411983266712394E-7</v>
      </c>
      <c r="Z34">
        <v>9.0607878208659475E-4</v>
      </c>
      <c r="AA34">
        <v>8.9519580782698803E-4</v>
      </c>
      <c r="AB34">
        <v>8.8796443298773094E-4</v>
      </c>
      <c r="AC34">
        <v>8.8952586659793952E-4</v>
      </c>
      <c r="AD34">
        <v>8.7488123992461846E-4</v>
      </c>
      <c r="AE34">
        <v>8.8777698926057109E-4</v>
      </c>
      <c r="AF34">
        <v>8.8817265161503386E-4</v>
      </c>
      <c r="AG34">
        <v>9.0213012386210342E-4</v>
      </c>
      <c r="AH34">
        <v>9.0149089014114896E-4</v>
      </c>
      <c r="AI34">
        <v>1.4680973287569217E-3</v>
      </c>
      <c r="AJ34">
        <v>9.0159537336949812E-4</v>
      </c>
      <c r="AK34">
        <v>-1.055563805782791E-6</v>
      </c>
      <c r="AL34">
        <v>-1.0132629336002396E-5</v>
      </c>
      <c r="AM34">
        <v>-5.4776879430998644E-6</v>
      </c>
      <c r="AN34">
        <v>2.7960218164159618E-4</v>
      </c>
      <c r="AO34">
        <v>5.5290131234595548E-4</v>
      </c>
      <c r="AP34">
        <v>2.6981809380769648E-4</v>
      </c>
      <c r="AQ34">
        <v>-9.7434081598688513E-4</v>
      </c>
    </row>
    <row r="35" spans="1:43" x14ac:dyDescent="0.2">
      <c r="A35" t="s">
        <v>95</v>
      </c>
      <c r="B35">
        <v>-0.37168744852271457</v>
      </c>
      <c r="C35">
        <v>-8.8532193210758589E-5</v>
      </c>
      <c r="D35">
        <v>-1.9807470213309474E-5</v>
      </c>
      <c r="E35">
        <v>-2.457874486519934E-6</v>
      </c>
      <c r="F35">
        <v>1.6332819942205672E-8</v>
      </c>
      <c r="G35">
        <v>7.8911258591165479E-7</v>
      </c>
      <c r="H35">
        <v>5.5865642568363611E-8</v>
      </c>
      <c r="I35">
        <v>-8.9387260280764863E-7</v>
      </c>
      <c r="J35">
        <v>2.8053739253550408E-5</v>
      </c>
      <c r="K35">
        <v>2.2866122885936108E-6</v>
      </c>
      <c r="L35">
        <v>5.0024728457483947E-6</v>
      </c>
      <c r="M35">
        <v>7.4892457548389273E-5</v>
      </c>
      <c r="N35">
        <v>-4.8230710964117586E-7</v>
      </c>
      <c r="O35">
        <v>7.7784075791432879E-7</v>
      </c>
      <c r="P35">
        <v>-9.9437770080302738E-6</v>
      </c>
      <c r="Q35">
        <v>9.8992891429285751E-7</v>
      </c>
      <c r="R35">
        <v>-2.0811236843181163E-5</v>
      </c>
      <c r="S35">
        <v>-1.0179612621401659E-6</v>
      </c>
      <c r="T35">
        <v>2.1691515767234548E-4</v>
      </c>
      <c r="U35">
        <v>2.3468446320245966E-4</v>
      </c>
      <c r="V35">
        <v>2.4572634924278913E-4</v>
      </c>
      <c r="W35">
        <v>-2.6902127572731195E-5</v>
      </c>
      <c r="X35">
        <v>-1.9659999817111585E-5</v>
      </c>
      <c r="Y35">
        <v>-3.0910563450807591E-5</v>
      </c>
      <c r="Z35">
        <v>9.1105323496967858E-4</v>
      </c>
      <c r="AA35">
        <v>8.9801270166897738E-4</v>
      </c>
      <c r="AB35">
        <v>8.912258601282046E-4</v>
      </c>
      <c r="AC35">
        <v>8.9419302546112295E-4</v>
      </c>
      <c r="AD35">
        <v>8.799339525821971E-4</v>
      </c>
      <c r="AE35">
        <v>8.869126436547017E-4</v>
      </c>
      <c r="AF35">
        <v>8.9105058096489642E-4</v>
      </c>
      <c r="AG35">
        <v>9.0582790537099204E-4</v>
      </c>
      <c r="AH35">
        <v>9.0674644931776024E-4</v>
      </c>
      <c r="AI35">
        <v>9.0159537336949812E-4</v>
      </c>
      <c r="AJ35">
        <v>2.1122416891906234E-3</v>
      </c>
      <c r="AK35">
        <v>-2.7040375316086056E-6</v>
      </c>
      <c r="AL35">
        <v>2.1802630999326797E-5</v>
      </c>
      <c r="AM35">
        <v>2.6992899271035836E-5</v>
      </c>
      <c r="AN35">
        <v>3.11217825884078E-4</v>
      </c>
      <c r="AO35">
        <v>5.755539870856101E-4</v>
      </c>
      <c r="AP35">
        <v>2.7709847444461281E-4</v>
      </c>
      <c r="AQ35">
        <v>-1.0500151160235389E-3</v>
      </c>
    </row>
    <row r="36" spans="1:43" x14ac:dyDescent="0.2">
      <c r="A36" t="s">
        <v>44</v>
      </c>
      <c r="B36">
        <v>-1.8185084912667068E-2</v>
      </c>
      <c r="C36">
        <v>2.1242777674440372E-6</v>
      </c>
      <c r="D36">
        <v>-3.1387158172319483E-7</v>
      </c>
      <c r="E36">
        <v>-2.5931505466096096E-7</v>
      </c>
      <c r="F36">
        <v>8.8507984341698314E-10</v>
      </c>
      <c r="G36">
        <v>1.5413710664730561E-8</v>
      </c>
      <c r="H36">
        <v>1.1797341635898579E-7</v>
      </c>
      <c r="I36">
        <v>2.7364531765816458E-7</v>
      </c>
      <c r="J36">
        <v>-1.9699319711954152E-7</v>
      </c>
      <c r="K36">
        <v>-4.6703827866455757E-8</v>
      </c>
      <c r="L36">
        <v>8.495546009390825E-8</v>
      </c>
      <c r="M36">
        <v>1.6432461526461594E-6</v>
      </c>
      <c r="N36">
        <v>1.2236633744174214E-9</v>
      </c>
      <c r="O36">
        <v>-1.06958696163898E-8</v>
      </c>
      <c r="P36">
        <v>-1.5323940663416493E-6</v>
      </c>
      <c r="Q36">
        <v>-6.9740423971864828E-7</v>
      </c>
      <c r="R36">
        <v>5.6795691690461744E-6</v>
      </c>
      <c r="S36">
        <v>1.1385342679430662E-6</v>
      </c>
      <c r="T36">
        <v>-3.6093969530788181E-6</v>
      </c>
      <c r="U36">
        <v>-1.5212988806138222E-6</v>
      </c>
      <c r="V36">
        <v>-1.6194626199355364E-6</v>
      </c>
      <c r="W36">
        <v>1.2684172032247249E-6</v>
      </c>
      <c r="X36">
        <v>1.8665299343655263E-7</v>
      </c>
      <c r="Y36">
        <v>7.4066025834477968E-7</v>
      </c>
      <c r="Z36">
        <v>-1.984357029991319E-6</v>
      </c>
      <c r="AA36">
        <v>-1.8397084860085694E-6</v>
      </c>
      <c r="AB36">
        <v>-3.0385742748671827E-6</v>
      </c>
      <c r="AC36">
        <v>-2.7818918714079296E-6</v>
      </c>
      <c r="AD36">
        <v>-2.0652730466941835E-6</v>
      </c>
      <c r="AE36">
        <v>-1.7303416741255146E-6</v>
      </c>
      <c r="AF36">
        <v>-7.7964028481904797E-7</v>
      </c>
      <c r="AG36">
        <v>-1.8129518130413495E-6</v>
      </c>
      <c r="AH36">
        <v>-1.0184026088739021E-7</v>
      </c>
      <c r="AI36">
        <v>-1.055563805782791E-6</v>
      </c>
      <c r="AJ36">
        <v>-2.7040375316086056E-6</v>
      </c>
      <c r="AK36">
        <v>4.3130837097391349E-6</v>
      </c>
      <c r="AL36">
        <v>-1.4601049078441868E-5</v>
      </c>
      <c r="AM36">
        <v>-1.817375996975432E-5</v>
      </c>
      <c r="AN36">
        <v>2.598320380474623E-6</v>
      </c>
      <c r="AO36">
        <v>-1.7680526194247415E-7</v>
      </c>
      <c r="AP36">
        <v>1.9359502534900658E-7</v>
      </c>
      <c r="AQ36">
        <v>-6.3761710382515699E-5</v>
      </c>
    </row>
    <row r="37" spans="1:43" x14ac:dyDescent="0.2">
      <c r="A37" t="s">
        <v>45</v>
      </c>
      <c r="B37">
        <v>-0.15103784840364209</v>
      </c>
      <c r="C37">
        <v>4.5934602093945255E-5</v>
      </c>
      <c r="D37">
        <v>9.9054124717521078E-7</v>
      </c>
      <c r="E37">
        <v>3.9590799239694068E-7</v>
      </c>
      <c r="F37">
        <v>-6.1246716462143556E-9</v>
      </c>
      <c r="G37">
        <v>6.6669221522396751E-8</v>
      </c>
      <c r="H37">
        <v>5.6121651134426986E-7</v>
      </c>
      <c r="I37">
        <v>-6.4925914044465512E-8</v>
      </c>
      <c r="J37">
        <v>4.4495975496379454E-6</v>
      </c>
      <c r="K37">
        <v>-1.7788727219755283E-6</v>
      </c>
      <c r="L37">
        <v>-1.9086666757252774E-6</v>
      </c>
      <c r="M37">
        <v>-1.9477942842830539E-5</v>
      </c>
      <c r="N37">
        <v>-8.5618059634162361E-7</v>
      </c>
      <c r="O37">
        <v>5.9678476406496822E-7</v>
      </c>
      <c r="P37">
        <v>1.0137668801523559E-6</v>
      </c>
      <c r="Q37">
        <v>-2.1082937398160816E-6</v>
      </c>
      <c r="R37">
        <v>3.6748252122989971E-6</v>
      </c>
      <c r="S37">
        <v>6.9429646425470127E-6</v>
      </c>
      <c r="T37">
        <v>1.9406690950977108E-5</v>
      </c>
      <c r="U37">
        <v>4.0184866602136982E-5</v>
      </c>
      <c r="V37">
        <v>1.9317542375881259E-5</v>
      </c>
      <c r="W37">
        <v>-6.2817791862060681E-6</v>
      </c>
      <c r="X37">
        <v>-3.9555212853682701E-6</v>
      </c>
      <c r="Y37">
        <v>-7.5593204123958275E-7</v>
      </c>
      <c r="Z37">
        <v>9.9274012170057705E-6</v>
      </c>
      <c r="AA37">
        <v>1.0938814995463267E-6</v>
      </c>
      <c r="AB37">
        <v>6.8887736221482488E-6</v>
      </c>
      <c r="AC37">
        <v>4.3352930936807206E-6</v>
      </c>
      <c r="AD37">
        <v>9.489797542101793E-6</v>
      </c>
      <c r="AE37">
        <v>-6.0571454189304727E-6</v>
      </c>
      <c r="AF37">
        <v>1.4171887229980768E-6</v>
      </c>
      <c r="AG37">
        <v>-6.9670767919646765E-7</v>
      </c>
      <c r="AH37">
        <v>-9.9743949189760049E-6</v>
      </c>
      <c r="AI37">
        <v>-1.0132629336002396E-5</v>
      </c>
      <c r="AJ37">
        <v>2.1802630999326797E-5</v>
      </c>
      <c r="AK37">
        <v>-1.4601049078441868E-5</v>
      </c>
      <c r="AL37">
        <v>5.6490087095284881E-4</v>
      </c>
      <c r="AM37">
        <v>1.2562955752562152E-4</v>
      </c>
      <c r="AN37">
        <v>-2.2961044234686354E-5</v>
      </c>
      <c r="AO37">
        <v>3.0128576704114619E-6</v>
      </c>
      <c r="AP37">
        <v>-2.0933906213611121E-5</v>
      </c>
      <c r="AQ37">
        <v>1.4735171308410139E-4</v>
      </c>
    </row>
    <row r="38" spans="1:43" x14ac:dyDescent="0.2">
      <c r="A38" t="s">
        <v>46</v>
      </c>
      <c r="B38">
        <v>-0.23493816018496078</v>
      </c>
      <c r="C38">
        <v>2.0112865410952718E-5</v>
      </c>
      <c r="D38">
        <v>4.1628249799548376E-6</v>
      </c>
      <c r="E38">
        <v>4.9511357453974976E-7</v>
      </c>
      <c r="F38">
        <v>-8.3301074122516304E-9</v>
      </c>
      <c r="G38">
        <v>-2.4469509811694049E-7</v>
      </c>
      <c r="H38">
        <v>4.3023389352619079E-7</v>
      </c>
      <c r="I38">
        <v>-1.5147743887147962E-6</v>
      </c>
      <c r="J38">
        <v>1.0039153522349106E-6</v>
      </c>
      <c r="K38">
        <v>-5.643962420273206E-7</v>
      </c>
      <c r="L38">
        <v>-1.4958462892495294E-6</v>
      </c>
      <c r="M38">
        <v>-1.4101474013117949E-5</v>
      </c>
      <c r="N38">
        <v>-1.5972726259823421E-7</v>
      </c>
      <c r="O38">
        <v>5.9313736963136207E-7</v>
      </c>
      <c r="P38">
        <v>-4.9513601076935344E-6</v>
      </c>
      <c r="Q38">
        <v>-1.0630705071184812E-6</v>
      </c>
      <c r="R38">
        <v>8.3889061515681789E-6</v>
      </c>
      <c r="S38">
        <v>2.662678405325554E-6</v>
      </c>
      <c r="T38">
        <v>-2.2533089102217178E-5</v>
      </c>
      <c r="U38">
        <v>1.3932914645494409E-5</v>
      </c>
      <c r="V38">
        <v>5.050514500491406E-6</v>
      </c>
      <c r="W38">
        <v>1.4126519908855134E-6</v>
      </c>
      <c r="X38">
        <v>-1.0515833222590062E-6</v>
      </c>
      <c r="Y38">
        <v>9.2797832262337273E-6</v>
      </c>
      <c r="Z38">
        <v>1.9729669493177721E-5</v>
      </c>
      <c r="AA38">
        <v>1.3793627208298123E-5</v>
      </c>
      <c r="AB38">
        <v>1.6383487060963524E-5</v>
      </c>
      <c r="AC38">
        <v>6.2732979937059329E-6</v>
      </c>
      <c r="AD38">
        <v>1.7624585144205753E-5</v>
      </c>
      <c r="AE38">
        <v>8.596310293659616E-6</v>
      </c>
      <c r="AF38">
        <v>7.9666233215398246E-6</v>
      </c>
      <c r="AG38">
        <v>6.7746798338802778E-6</v>
      </c>
      <c r="AH38">
        <v>6.7626303773453961E-7</v>
      </c>
      <c r="AI38">
        <v>-5.4776879430998644E-6</v>
      </c>
      <c r="AJ38">
        <v>2.6992899271035836E-5</v>
      </c>
      <c r="AK38">
        <v>-1.817375996975432E-5</v>
      </c>
      <c r="AL38">
        <v>1.2562955752562152E-4</v>
      </c>
      <c r="AM38">
        <v>6.4041063807962386E-4</v>
      </c>
      <c r="AN38">
        <v>-3.7914417534629223E-5</v>
      </c>
      <c r="AO38">
        <v>1.421456582956156E-5</v>
      </c>
      <c r="AP38">
        <v>-2.7355244404452471E-6</v>
      </c>
      <c r="AQ38">
        <v>2.3539743875437374E-4</v>
      </c>
    </row>
    <row r="39" spans="1:43" x14ac:dyDescent="0.2">
      <c r="A39" t="s">
        <v>98</v>
      </c>
      <c r="B39">
        <v>-0.44577919716529268</v>
      </c>
      <c r="C39">
        <v>-3.796897470848321E-5</v>
      </c>
      <c r="D39">
        <v>1.3091236096190369E-5</v>
      </c>
      <c r="E39">
        <v>3.5687114899854075E-7</v>
      </c>
      <c r="F39">
        <v>1.3231324660933832E-8</v>
      </c>
      <c r="G39">
        <v>1.6184588828129894E-6</v>
      </c>
      <c r="H39">
        <v>-4.711965288413332E-7</v>
      </c>
      <c r="I39">
        <v>-2.7700145417977075E-6</v>
      </c>
      <c r="J39">
        <v>1.1737307362459431E-5</v>
      </c>
      <c r="K39">
        <v>3.5407737149583739E-6</v>
      </c>
      <c r="L39">
        <v>1.4193826944690111E-6</v>
      </c>
      <c r="M39">
        <v>4.7051044427256234E-6</v>
      </c>
      <c r="N39">
        <v>9.6065852547715417E-7</v>
      </c>
      <c r="O39">
        <v>-7.970833500006733E-7</v>
      </c>
      <c r="P39">
        <v>-1.6298828899884548E-5</v>
      </c>
      <c r="Q39">
        <v>1.3544381751821064E-6</v>
      </c>
      <c r="R39">
        <v>3.2690810866489446E-5</v>
      </c>
      <c r="S39">
        <v>3.6106329766680023E-5</v>
      </c>
      <c r="T39">
        <v>9.7381113158292315E-5</v>
      </c>
      <c r="U39">
        <v>8.664349734370828E-5</v>
      </c>
      <c r="V39">
        <v>9.8559624526258632E-5</v>
      </c>
      <c r="W39">
        <v>-2.7005790870607735E-5</v>
      </c>
      <c r="X39">
        <v>1.1029473846119615E-5</v>
      </c>
      <c r="Y39">
        <v>2.2139466005958823E-5</v>
      </c>
      <c r="Z39">
        <v>3.0485475135634706E-4</v>
      </c>
      <c r="AA39">
        <v>2.523001039698121E-4</v>
      </c>
      <c r="AB39">
        <v>2.369143432670922E-4</v>
      </c>
      <c r="AC39">
        <v>2.4336525922621566E-4</v>
      </c>
      <c r="AD39">
        <v>1.9245179456494309E-4</v>
      </c>
      <c r="AE39">
        <v>2.7940606108826758E-4</v>
      </c>
      <c r="AF39">
        <v>2.5865387585751549E-4</v>
      </c>
      <c r="AG39">
        <v>2.9393106906351352E-4</v>
      </c>
      <c r="AH39">
        <v>2.7632824816781524E-4</v>
      </c>
      <c r="AI39">
        <v>2.7960218164159618E-4</v>
      </c>
      <c r="AJ39">
        <v>3.11217825884078E-4</v>
      </c>
      <c r="AK39">
        <v>2.598320380474623E-6</v>
      </c>
      <c r="AL39">
        <v>-2.2961044234686354E-5</v>
      </c>
      <c r="AM39">
        <v>-3.7914417534629223E-5</v>
      </c>
      <c r="AN39">
        <v>1.7122801020025913E-3</v>
      </c>
      <c r="AO39">
        <v>2.2183282375770028E-4</v>
      </c>
      <c r="AP39">
        <v>1.5311117054518802E-4</v>
      </c>
      <c r="AQ39">
        <v>-6.1505077412912995E-4</v>
      </c>
    </row>
    <row r="40" spans="1:43" x14ac:dyDescent="0.2">
      <c r="A40" t="s">
        <v>99</v>
      </c>
      <c r="B40">
        <v>-0.58960623406306745</v>
      </c>
      <c r="C40">
        <v>-4.4799440791595379E-5</v>
      </c>
      <c r="D40">
        <v>-2.2210525684468983E-5</v>
      </c>
      <c r="E40">
        <v>-6.7379392740660909E-6</v>
      </c>
      <c r="F40">
        <v>5.005253319213135E-8</v>
      </c>
      <c r="G40">
        <v>-6.2334910842260451E-7</v>
      </c>
      <c r="H40">
        <v>-1.2689232626032227E-6</v>
      </c>
      <c r="I40">
        <v>1.7016176803823879E-6</v>
      </c>
      <c r="J40">
        <v>1.5085726896715097E-5</v>
      </c>
      <c r="K40">
        <v>3.5242080982553588E-6</v>
      </c>
      <c r="L40">
        <v>1.0915318214942416E-5</v>
      </c>
      <c r="M40">
        <v>5.4090099674456059E-5</v>
      </c>
      <c r="N40">
        <v>1.5218146791013754E-7</v>
      </c>
      <c r="O40">
        <v>1.2678636323912585E-7</v>
      </c>
      <c r="P40">
        <v>-5.5084977203749604E-6</v>
      </c>
      <c r="Q40">
        <v>-1.7274885200519789E-6</v>
      </c>
      <c r="R40">
        <v>5.796882233036763E-5</v>
      </c>
      <c r="S40">
        <v>4.0138220680796717E-5</v>
      </c>
      <c r="T40">
        <v>5.7315371861140461E-5</v>
      </c>
      <c r="U40">
        <v>8.1839746367272891E-5</v>
      </c>
      <c r="V40">
        <v>1.7255751433669243E-4</v>
      </c>
      <c r="W40">
        <v>-6.7510292699930763E-6</v>
      </c>
      <c r="X40">
        <v>-7.9395091624674164E-5</v>
      </c>
      <c r="Y40">
        <v>-1.977759638881038E-4</v>
      </c>
      <c r="Z40">
        <v>5.6040127160936182E-4</v>
      </c>
      <c r="AA40">
        <v>5.254177681659997E-4</v>
      </c>
      <c r="AB40">
        <v>5.1523367458186425E-4</v>
      </c>
      <c r="AC40">
        <v>5.1586904643527443E-4</v>
      </c>
      <c r="AD40">
        <v>4.734683840111786E-4</v>
      </c>
      <c r="AE40">
        <v>4.9217002204160628E-4</v>
      </c>
      <c r="AF40">
        <v>5.1061709621797271E-4</v>
      </c>
      <c r="AG40">
        <v>5.4483097904385949E-4</v>
      </c>
      <c r="AH40">
        <v>5.4682529674268102E-4</v>
      </c>
      <c r="AI40">
        <v>5.5290131234595548E-4</v>
      </c>
      <c r="AJ40">
        <v>5.755539870856101E-4</v>
      </c>
      <c r="AK40">
        <v>-1.7680526194247415E-7</v>
      </c>
      <c r="AL40">
        <v>3.0128576704114619E-6</v>
      </c>
      <c r="AM40">
        <v>1.421456582956156E-5</v>
      </c>
      <c r="AN40">
        <v>2.2183282375770028E-4</v>
      </c>
      <c r="AO40">
        <v>3.9684199234323878E-3</v>
      </c>
      <c r="AP40">
        <v>2.3115735944138229E-4</v>
      </c>
      <c r="AQ40">
        <v>-4.2269855777973331E-4</v>
      </c>
    </row>
    <row r="41" spans="1:43" x14ac:dyDescent="0.2">
      <c r="A41" t="s">
        <v>100</v>
      </c>
      <c r="B41">
        <v>-0.31032161992374385</v>
      </c>
      <c r="C41">
        <v>1.4140824607312849E-5</v>
      </c>
      <c r="D41">
        <v>-1.2024614163155234E-5</v>
      </c>
      <c r="E41">
        <v>-2.1148259407569435E-6</v>
      </c>
      <c r="F41">
        <v>1.8985557644140674E-8</v>
      </c>
      <c r="G41">
        <v>-4.075456824560216E-7</v>
      </c>
      <c r="H41">
        <v>1.3255535088338446E-7</v>
      </c>
      <c r="I41">
        <v>-1.4628911999214528E-6</v>
      </c>
      <c r="J41">
        <v>-3.1900612715903692E-6</v>
      </c>
      <c r="K41">
        <v>5.7165651898475626E-6</v>
      </c>
      <c r="L41">
        <v>6.2371580677043661E-6</v>
      </c>
      <c r="M41">
        <v>5.2764355390124838E-6</v>
      </c>
      <c r="N41">
        <v>1.624491171633164E-6</v>
      </c>
      <c r="O41">
        <v>-2.0930090260865931E-6</v>
      </c>
      <c r="P41">
        <v>1.6949103967013929E-6</v>
      </c>
      <c r="Q41">
        <v>5.8416422667730437E-7</v>
      </c>
      <c r="R41">
        <v>4.3615124391025443E-5</v>
      </c>
      <c r="S41">
        <v>2.2068035740606959E-5</v>
      </c>
      <c r="T41">
        <v>-3.6163085148358063E-5</v>
      </c>
      <c r="U41">
        <v>-3.1066503404366102E-5</v>
      </c>
      <c r="V41">
        <v>4.1911704902884706E-5</v>
      </c>
      <c r="W41">
        <v>-1.5651593242569831E-5</v>
      </c>
      <c r="X41">
        <v>-3.7212925469760216E-5</v>
      </c>
      <c r="Y41">
        <v>-4.214803950245284E-5</v>
      </c>
      <c r="Z41">
        <v>2.9124072486603396E-4</v>
      </c>
      <c r="AA41">
        <v>2.6522480373667964E-4</v>
      </c>
      <c r="AB41">
        <v>2.4098535703641021E-4</v>
      </c>
      <c r="AC41">
        <v>2.3032089079692776E-4</v>
      </c>
      <c r="AD41">
        <v>2.2264876305594955E-4</v>
      </c>
      <c r="AE41">
        <v>2.4546511861882347E-4</v>
      </c>
      <c r="AF41">
        <v>2.3535096587104891E-4</v>
      </c>
      <c r="AG41">
        <v>2.5048500661763054E-4</v>
      </c>
      <c r="AH41">
        <v>2.668521006553477E-4</v>
      </c>
      <c r="AI41">
        <v>2.6981809380769648E-4</v>
      </c>
      <c r="AJ41">
        <v>2.7709847444461281E-4</v>
      </c>
      <c r="AK41">
        <v>1.9359502534900658E-7</v>
      </c>
      <c r="AL41">
        <v>-2.0933906213611121E-5</v>
      </c>
      <c r="AM41">
        <v>-2.7355244404452471E-6</v>
      </c>
      <c r="AN41">
        <v>1.5311117054518802E-4</v>
      </c>
      <c r="AO41">
        <v>2.3115735944138229E-4</v>
      </c>
      <c r="AP41">
        <v>3.4209270269286917E-3</v>
      </c>
      <c r="AQ41">
        <v>-2.6683182329603658E-4</v>
      </c>
    </row>
    <row r="42" spans="1:43" x14ac:dyDescent="0.2">
      <c r="A42" t="s">
        <v>47</v>
      </c>
      <c r="B42">
        <v>-2.0859754417933485</v>
      </c>
      <c r="C42">
        <v>-6.6964332591376628E-4</v>
      </c>
      <c r="D42">
        <v>1.4698695378514417E-4</v>
      </c>
      <c r="E42">
        <v>-1.5701556593523153E-4</v>
      </c>
      <c r="F42">
        <v>1.3581346015613503E-6</v>
      </c>
      <c r="G42">
        <v>-3.5052312382059838E-5</v>
      </c>
      <c r="H42">
        <v>-3.095288302943451E-5</v>
      </c>
      <c r="I42">
        <v>8.1090863422484684E-6</v>
      </c>
      <c r="J42">
        <v>-1.1915840409990565E-3</v>
      </c>
      <c r="K42">
        <v>3.5695940180736307E-5</v>
      </c>
      <c r="L42">
        <v>1.2472996068438087E-5</v>
      </c>
      <c r="M42">
        <v>-1.691743607229322E-4</v>
      </c>
      <c r="N42">
        <v>-1.2158121455179425E-5</v>
      </c>
      <c r="O42">
        <v>1.0979622613103878E-5</v>
      </c>
      <c r="P42">
        <v>6.6777517911226398E-5</v>
      </c>
      <c r="Q42">
        <v>-8.5468172630736206E-5</v>
      </c>
      <c r="R42">
        <v>-7.7419408309416259E-4</v>
      </c>
      <c r="S42">
        <v>-6.2453287308972716E-4</v>
      </c>
      <c r="T42">
        <v>-1.0417341991223336E-2</v>
      </c>
      <c r="U42">
        <v>-9.7518677686564623E-3</v>
      </c>
      <c r="V42">
        <v>-9.5114940302903316E-3</v>
      </c>
      <c r="W42">
        <v>-2.5557979863199308E-4</v>
      </c>
      <c r="X42">
        <v>-6.4048500241159706E-4</v>
      </c>
      <c r="Y42">
        <v>-7.8973286251547811E-4</v>
      </c>
      <c r="Z42">
        <v>-1.0574170273141854E-3</v>
      </c>
      <c r="AA42">
        <v>-1.1253061769329728E-3</v>
      </c>
      <c r="AB42">
        <v>-1.1255392383442515E-3</v>
      </c>
      <c r="AC42">
        <v>-1.1168146127275096E-3</v>
      </c>
      <c r="AD42">
        <v>-1.0691269010275485E-3</v>
      </c>
      <c r="AE42">
        <v>-1.0211228673796618E-3</v>
      </c>
      <c r="AF42">
        <v>-1.0071927157131464E-3</v>
      </c>
      <c r="AG42">
        <v>-1.1403520830044821E-3</v>
      </c>
      <c r="AH42">
        <v>-1.1613047151110565E-3</v>
      </c>
      <c r="AI42">
        <v>-9.7434081598688513E-4</v>
      </c>
      <c r="AJ42">
        <v>-1.0500151160235389E-3</v>
      </c>
      <c r="AK42">
        <v>-6.3761710382515699E-5</v>
      </c>
      <c r="AL42">
        <v>1.4735171308410139E-4</v>
      </c>
      <c r="AM42">
        <v>2.3539743875437374E-4</v>
      </c>
      <c r="AN42">
        <v>-6.1505077412912995E-4</v>
      </c>
      <c r="AO42">
        <v>-4.2269855777973331E-4</v>
      </c>
      <c r="AP42">
        <v>-2.6683182329603658E-4</v>
      </c>
      <c r="AQ42">
        <v>1.9581505615688298E-2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O40"/>
  <sheetViews>
    <sheetView topLeftCell="A22" workbookViewId="0">
      <selection activeCell="D52" sqref="D52"/>
    </sheetView>
  </sheetViews>
  <sheetFormatPr baseColWidth="10" defaultColWidth="8.83203125" defaultRowHeight="15" x14ac:dyDescent="0.2"/>
  <sheetData>
    <row r="1" spans="1:41" x14ac:dyDescent="0.2">
      <c r="A1" t="s">
        <v>19</v>
      </c>
      <c r="B1" t="s">
        <v>20</v>
      </c>
      <c r="C1" t="s">
        <v>22</v>
      </c>
      <c r="D1" t="s">
        <v>23</v>
      </c>
      <c r="E1" t="s">
        <v>24</v>
      </c>
      <c r="F1" t="s">
        <v>36</v>
      </c>
      <c r="G1" t="s">
        <v>37</v>
      </c>
      <c r="H1" t="s">
        <v>53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N1" t="s">
        <v>43</v>
      </c>
      <c r="O1" t="s">
        <v>25</v>
      </c>
      <c r="P1" t="s">
        <v>26</v>
      </c>
      <c r="Q1" t="s">
        <v>27</v>
      </c>
      <c r="R1" t="s">
        <v>30</v>
      </c>
      <c r="S1" t="s">
        <v>28</v>
      </c>
      <c r="T1" t="s">
        <v>29</v>
      </c>
      <c r="U1" t="s">
        <v>31</v>
      </c>
      <c r="V1" t="s">
        <v>34</v>
      </c>
      <c r="W1" t="s">
        <v>35</v>
      </c>
      <c r="X1" t="s">
        <v>85</v>
      </c>
      <c r="Y1" t="s">
        <v>86</v>
      </c>
      <c r="Z1" t="s">
        <v>87</v>
      </c>
      <c r="AA1" t="s">
        <v>88</v>
      </c>
      <c r="AB1" t="s">
        <v>89</v>
      </c>
      <c r="AC1" t="s">
        <v>90</v>
      </c>
      <c r="AD1" t="s">
        <v>91</v>
      </c>
      <c r="AE1" t="s">
        <v>92</v>
      </c>
      <c r="AF1" t="s">
        <v>93</v>
      </c>
      <c r="AG1" t="s">
        <v>94</v>
      </c>
      <c r="AH1" t="s">
        <v>95</v>
      </c>
      <c r="AI1" t="s">
        <v>44</v>
      </c>
      <c r="AJ1" t="s">
        <v>45</v>
      </c>
      <c r="AK1" t="s">
        <v>46</v>
      </c>
      <c r="AL1" t="s">
        <v>98</v>
      </c>
      <c r="AM1" t="s">
        <v>99</v>
      </c>
      <c r="AN1" t="s">
        <v>100</v>
      </c>
      <c r="AO1" t="s">
        <v>47</v>
      </c>
    </row>
    <row r="2" spans="1:41" x14ac:dyDescent="0.2">
      <c r="A2" t="s">
        <v>22</v>
      </c>
      <c r="B2">
        <v>0.16808437763634543</v>
      </c>
      <c r="C2">
        <v>2.9454078445084947E-4</v>
      </c>
      <c r="D2">
        <v>4.4004565168529485E-6</v>
      </c>
      <c r="E2">
        <v>-4.5635843010554248E-8</v>
      </c>
      <c r="F2">
        <v>-1.1911476360951421E-4</v>
      </c>
      <c r="G2">
        <v>-1.2251860052238633E-4</v>
      </c>
      <c r="H2">
        <v>-1.2338592602075882E-4</v>
      </c>
      <c r="I2">
        <v>-2.1482989356781201E-4</v>
      </c>
      <c r="J2">
        <v>-2.0281174278332037E-4</v>
      </c>
      <c r="K2">
        <v>-1.9698112055252948E-4</v>
      </c>
      <c r="L2">
        <v>8.1894549515689925E-6</v>
      </c>
      <c r="M2">
        <v>4.210905023720357E-5</v>
      </c>
      <c r="N2">
        <v>1.2701171859775599E-4</v>
      </c>
      <c r="O2">
        <v>-1.7497295950625759E-7</v>
      </c>
      <c r="P2">
        <v>-1.4994566257432325E-6</v>
      </c>
      <c r="Q2">
        <v>-5.3531954898500678E-6</v>
      </c>
      <c r="R2">
        <v>-1.5155861303181157E-6</v>
      </c>
      <c r="S2">
        <v>-2.7620411428961927E-5</v>
      </c>
      <c r="T2">
        <v>-2.1198305847822032E-6</v>
      </c>
      <c r="U2">
        <v>-2.8822877679508536E-4</v>
      </c>
      <c r="V2">
        <v>-3.9636565451835394E-7</v>
      </c>
      <c r="W2">
        <v>1.4174068357892552E-6</v>
      </c>
      <c r="X2">
        <v>2.0168199028296503E-5</v>
      </c>
      <c r="Y2">
        <v>1.8106941531879662E-5</v>
      </c>
      <c r="Z2">
        <v>1.7161597110758239E-5</v>
      </c>
      <c r="AA2">
        <v>5.2534762994775998E-6</v>
      </c>
      <c r="AB2">
        <v>1.3332782705768268E-5</v>
      </c>
      <c r="AC2">
        <v>1.1874643500094426E-5</v>
      </c>
      <c r="AD2">
        <v>1.6142468899964493E-5</v>
      </c>
      <c r="AE2">
        <v>2.2728646105069122E-5</v>
      </c>
      <c r="AF2">
        <v>1.2915045659231313E-5</v>
      </c>
      <c r="AG2">
        <v>7.571152857581328E-6</v>
      </c>
      <c r="AH2">
        <v>8.6239034804468984E-6</v>
      </c>
      <c r="AI2">
        <v>1.0854130183042231E-7</v>
      </c>
      <c r="AJ2">
        <v>4.1534306063922035E-6</v>
      </c>
      <c r="AK2">
        <v>4.9309225921810595E-6</v>
      </c>
      <c r="AL2">
        <v>2.432796430661458E-6</v>
      </c>
      <c r="AM2">
        <v>2.477507684149239E-5</v>
      </c>
      <c r="AN2">
        <v>-6.7757699539367602E-6</v>
      </c>
      <c r="AO2">
        <v>1.8831703731628165E-4</v>
      </c>
    </row>
    <row r="3" spans="1:41" x14ac:dyDescent="0.2">
      <c r="A3" t="s">
        <v>23</v>
      </c>
      <c r="B3">
        <v>3.5590132628412305E-2</v>
      </c>
      <c r="C3">
        <v>4.4004565168529485E-6</v>
      </c>
      <c r="D3">
        <v>9.8370239744046293E-6</v>
      </c>
      <c r="E3">
        <v>-8.4458188973763669E-8</v>
      </c>
      <c r="F3">
        <v>-2.3398000433838057E-5</v>
      </c>
      <c r="G3">
        <v>-2.5823464922617854E-5</v>
      </c>
      <c r="H3">
        <v>-2.3646765992735804E-5</v>
      </c>
      <c r="I3">
        <v>7.4785114856796975E-5</v>
      </c>
      <c r="J3">
        <v>2.8969119071444761E-6</v>
      </c>
      <c r="K3">
        <v>-5.1293566007181227E-6</v>
      </c>
      <c r="L3">
        <v>6.5820288389309676E-6</v>
      </c>
      <c r="M3">
        <v>1.5519692528067839E-5</v>
      </c>
      <c r="N3">
        <v>1.6638716657875959E-5</v>
      </c>
      <c r="O3">
        <v>-8.6086771049796205E-8</v>
      </c>
      <c r="P3">
        <v>-6.9108946552122495E-8</v>
      </c>
      <c r="Q3">
        <v>-1.5363473167648836E-6</v>
      </c>
      <c r="R3">
        <v>-1.0323995032636984E-6</v>
      </c>
      <c r="S3">
        <v>5.5876228779143936E-7</v>
      </c>
      <c r="T3">
        <v>-1.906141394442337E-6</v>
      </c>
      <c r="U3">
        <v>-4.4341956205474726E-6</v>
      </c>
      <c r="V3">
        <v>-3.5751014008635762E-6</v>
      </c>
      <c r="W3">
        <v>3.9842410610886603E-6</v>
      </c>
      <c r="X3">
        <v>-6.62828823065052E-6</v>
      </c>
      <c r="Y3">
        <v>-5.8749730147544669E-6</v>
      </c>
      <c r="Z3">
        <v>-5.2317340550204539E-6</v>
      </c>
      <c r="AA3">
        <v>-5.2459019297847588E-6</v>
      </c>
      <c r="AB3">
        <v>-7.4893907536312704E-6</v>
      </c>
      <c r="AC3">
        <v>-5.1092866710789866E-6</v>
      </c>
      <c r="AD3">
        <v>-3.1659571448556772E-6</v>
      </c>
      <c r="AE3">
        <v>-4.9647682654568691E-6</v>
      </c>
      <c r="AF3">
        <v>-6.0373100581727368E-6</v>
      </c>
      <c r="AG3">
        <v>-6.8125984838345683E-6</v>
      </c>
      <c r="AH3">
        <v>-9.7534714811569451E-6</v>
      </c>
      <c r="AI3">
        <v>4.8448156672799985E-7</v>
      </c>
      <c r="AJ3">
        <v>-9.5270188656273953E-8</v>
      </c>
      <c r="AK3">
        <v>-1.7455649897564138E-6</v>
      </c>
      <c r="AL3">
        <v>-2.0428123118528652E-6</v>
      </c>
      <c r="AM3">
        <v>-1.3631910234045505E-5</v>
      </c>
      <c r="AN3">
        <v>-4.1273257942768981E-7</v>
      </c>
      <c r="AO3">
        <v>-2.2338121810669957E-4</v>
      </c>
    </row>
    <row r="4" spans="1:41" x14ac:dyDescent="0.2">
      <c r="A4" t="s">
        <v>24</v>
      </c>
      <c r="B4">
        <v>-2.9079990169133109E-4</v>
      </c>
      <c r="C4">
        <v>-4.5635843010554248E-8</v>
      </c>
      <c r="D4">
        <v>-8.4458188973763669E-8</v>
      </c>
      <c r="E4">
        <v>7.7921836063868151E-10</v>
      </c>
      <c r="F4">
        <v>1.6534704618913127E-7</v>
      </c>
      <c r="G4">
        <v>2.1795683486203525E-7</v>
      </c>
      <c r="H4">
        <v>2.1057084152678318E-7</v>
      </c>
      <c r="I4">
        <v>-5.1179382433253842E-7</v>
      </c>
      <c r="J4">
        <v>2.6894650664326966E-8</v>
      </c>
      <c r="K4">
        <v>-3.4330381169187866E-8</v>
      </c>
      <c r="L4">
        <v>-2.7472462339560928E-8</v>
      </c>
      <c r="M4">
        <v>-1.3909825338766288E-7</v>
      </c>
      <c r="N4">
        <v>-9.6028655779868831E-8</v>
      </c>
      <c r="O4">
        <v>2.1148430006926122E-9</v>
      </c>
      <c r="P4">
        <v>1.8296118912667107E-10</v>
      </c>
      <c r="Q4">
        <v>1.2071455525683006E-8</v>
      </c>
      <c r="R4">
        <v>6.9027045606345152E-9</v>
      </c>
      <c r="S4">
        <v>-3.1988844452291347E-10</v>
      </c>
      <c r="T4">
        <v>1.7179436440066767E-8</v>
      </c>
      <c r="U4">
        <v>4.2761529986377843E-8</v>
      </c>
      <c r="V4">
        <v>3.1729360639813617E-8</v>
      </c>
      <c r="W4">
        <v>-2.5907375506243169E-8</v>
      </c>
      <c r="X4">
        <v>6.442376101016617E-8</v>
      </c>
      <c r="Y4">
        <v>5.9953066277505631E-8</v>
      </c>
      <c r="Z4">
        <v>4.9275920947086171E-8</v>
      </c>
      <c r="AA4">
        <v>5.3504512429064597E-8</v>
      </c>
      <c r="AB4">
        <v>6.5179825522656498E-8</v>
      </c>
      <c r="AC4">
        <v>4.6359130243255442E-8</v>
      </c>
      <c r="AD4">
        <v>2.7457886918834729E-8</v>
      </c>
      <c r="AE4">
        <v>4.2914148244056361E-8</v>
      </c>
      <c r="AF4">
        <v>5.648997246181343E-8</v>
      </c>
      <c r="AG4">
        <v>6.1104704218291033E-8</v>
      </c>
      <c r="AH4">
        <v>8.7532918381763878E-8</v>
      </c>
      <c r="AI4">
        <v>-5.5007975728598922E-9</v>
      </c>
      <c r="AJ4">
        <v>-1.2744289209021938E-9</v>
      </c>
      <c r="AK4">
        <v>9.4669184645368317E-9</v>
      </c>
      <c r="AL4">
        <v>4.1150689995727761E-8</v>
      </c>
      <c r="AM4">
        <v>1.0730884387497785E-7</v>
      </c>
      <c r="AN4">
        <v>1.799621963693668E-8</v>
      </c>
      <c r="AO4">
        <v>1.7124248282660971E-6</v>
      </c>
    </row>
    <row r="5" spans="1:41" x14ac:dyDescent="0.2">
      <c r="A5" t="s">
        <v>36</v>
      </c>
      <c r="B5">
        <v>-0.70895008598270237</v>
      </c>
      <c r="C5">
        <v>-1.1911476360951421E-4</v>
      </c>
      <c r="D5">
        <v>-2.3398000433838057E-5</v>
      </c>
      <c r="E5">
        <v>1.6534704618913127E-7</v>
      </c>
      <c r="F5">
        <v>1.1593365431830722E-2</v>
      </c>
      <c r="G5">
        <v>1.1187002420255604E-2</v>
      </c>
      <c r="H5">
        <v>1.1179965767003202E-2</v>
      </c>
      <c r="I5">
        <v>3.7596649406085939E-3</v>
      </c>
      <c r="J5">
        <v>-1.7538668994074519E-4</v>
      </c>
      <c r="K5">
        <v>-2.2243443178015035E-5</v>
      </c>
      <c r="L5">
        <v>1.3375300459902279E-4</v>
      </c>
      <c r="M5">
        <v>-1.1898654312101497E-4</v>
      </c>
      <c r="N5">
        <v>3.7344987740634862E-5</v>
      </c>
      <c r="O5">
        <v>1.2969601210558365E-6</v>
      </c>
      <c r="P5">
        <v>8.1910628557824584E-8</v>
      </c>
      <c r="Q5">
        <v>-8.9935519123179311E-6</v>
      </c>
      <c r="R5">
        <v>3.2648476094202612E-6</v>
      </c>
      <c r="S5">
        <v>6.8287526519025636E-6</v>
      </c>
      <c r="T5">
        <v>-1.4881497935950483E-5</v>
      </c>
      <c r="U5">
        <v>6.1385980952299761E-3</v>
      </c>
      <c r="V5">
        <v>4.353053598163155E-4</v>
      </c>
      <c r="W5">
        <v>2.496789852656864E-5</v>
      </c>
      <c r="X5">
        <v>-1.6532332280979733E-5</v>
      </c>
      <c r="Y5">
        <v>-1.0237412987819904E-4</v>
      </c>
      <c r="Z5">
        <v>-9.3292310732381693E-5</v>
      </c>
      <c r="AA5">
        <v>-7.4893096130827612E-5</v>
      </c>
      <c r="AB5">
        <v>-9.3098104250828248E-5</v>
      </c>
      <c r="AC5">
        <v>-7.7707326132574282E-5</v>
      </c>
      <c r="AD5">
        <v>-6.578150689654904E-5</v>
      </c>
      <c r="AE5">
        <v>-6.1918233521149682E-5</v>
      </c>
      <c r="AF5">
        <v>-1.0445969460922289E-4</v>
      </c>
      <c r="AG5">
        <v>-5.645028630184637E-5</v>
      </c>
      <c r="AH5">
        <v>-6.4224457504780466E-5</v>
      </c>
      <c r="AI5">
        <v>-1.4854888261760062E-6</v>
      </c>
      <c r="AJ5">
        <v>6.7055717894686623E-5</v>
      </c>
      <c r="AK5">
        <v>9.6333179018374005E-5</v>
      </c>
      <c r="AL5">
        <v>4.011864708557307E-6</v>
      </c>
      <c r="AM5">
        <v>1.6953964599590501E-4</v>
      </c>
      <c r="AN5">
        <v>-3.5063769553470177E-4</v>
      </c>
      <c r="AO5">
        <v>-1.0333148839606471E-2</v>
      </c>
    </row>
    <row r="6" spans="1:41" x14ac:dyDescent="0.2">
      <c r="A6" t="s">
        <v>37</v>
      </c>
      <c r="B6">
        <v>-0.60464798146691678</v>
      </c>
      <c r="C6">
        <v>-1.2251860052238633E-4</v>
      </c>
      <c r="D6">
        <v>-2.5823464922617854E-5</v>
      </c>
      <c r="E6">
        <v>2.1795683486203525E-7</v>
      </c>
      <c r="F6">
        <v>1.1187002420255604E-2</v>
      </c>
      <c r="G6">
        <v>1.1268292886538966E-2</v>
      </c>
      <c r="H6">
        <v>1.1146727215373999E-2</v>
      </c>
      <c r="I6">
        <v>3.7837869219389765E-3</v>
      </c>
      <c r="J6">
        <v>-1.1461915660744559E-4</v>
      </c>
      <c r="K6">
        <v>1.6447812265136391E-5</v>
      </c>
      <c r="L6">
        <v>1.2966449585845107E-4</v>
      </c>
      <c r="M6">
        <v>-1.204115287249499E-4</v>
      </c>
      <c r="N6">
        <v>5.094138414353782E-5</v>
      </c>
      <c r="O6">
        <v>5.0959463310685117E-7</v>
      </c>
      <c r="P6">
        <v>-4.0553372933064993E-7</v>
      </c>
      <c r="Q6">
        <v>-1.381437123236203E-5</v>
      </c>
      <c r="R6">
        <v>-1.8119194206678551E-6</v>
      </c>
      <c r="S6">
        <v>1.1571335260837905E-5</v>
      </c>
      <c r="T6">
        <v>-1.6205770632285238E-5</v>
      </c>
      <c r="U6">
        <v>6.1462854747710918E-3</v>
      </c>
      <c r="V6">
        <v>4.4083844204282762E-4</v>
      </c>
      <c r="W6">
        <v>2.9067748655235758E-5</v>
      </c>
      <c r="X6">
        <v>-4.8207241153179221E-5</v>
      </c>
      <c r="Y6">
        <v>-1.228132962425273E-4</v>
      </c>
      <c r="Z6">
        <v>-1.0352651447421632E-4</v>
      </c>
      <c r="AA6">
        <v>-7.6489898703438822E-5</v>
      </c>
      <c r="AB6">
        <v>-1.0339935843817726E-4</v>
      </c>
      <c r="AC6">
        <v>-9.1359499856989625E-5</v>
      </c>
      <c r="AD6">
        <v>-9.3680713415462188E-5</v>
      </c>
      <c r="AE6">
        <v>-8.6507548285643873E-5</v>
      </c>
      <c r="AF6">
        <v>-1.1363696075913487E-4</v>
      </c>
      <c r="AG6">
        <v>-9.0186502934944471E-5</v>
      </c>
      <c r="AH6">
        <v>-6.7365203137218638E-5</v>
      </c>
      <c r="AI6">
        <v>-5.298970575663719E-6</v>
      </c>
      <c r="AJ6">
        <v>7.4335602091113754E-5</v>
      </c>
      <c r="AK6">
        <v>1.0104413822372912E-4</v>
      </c>
      <c r="AL6">
        <v>-3.8695228561213407E-7</v>
      </c>
      <c r="AM6">
        <v>1.8666665593357768E-4</v>
      </c>
      <c r="AN6">
        <v>-3.5214723969334354E-4</v>
      </c>
      <c r="AO6">
        <v>-1.0189412229965056E-2</v>
      </c>
    </row>
    <row r="7" spans="1:41" x14ac:dyDescent="0.2">
      <c r="A7" t="s">
        <v>53</v>
      </c>
      <c r="B7">
        <v>-0.62013451568751798</v>
      </c>
      <c r="C7">
        <v>-1.2338592602075882E-4</v>
      </c>
      <c r="D7">
        <v>-2.3646765992735804E-5</v>
      </c>
      <c r="E7">
        <v>2.1057084152678318E-7</v>
      </c>
      <c r="F7">
        <v>1.1179965767003202E-2</v>
      </c>
      <c r="G7">
        <v>1.1146727215373999E-2</v>
      </c>
      <c r="H7">
        <v>1.141090403649812E-2</v>
      </c>
      <c r="I7">
        <v>3.5077681777745031E-3</v>
      </c>
      <c r="J7">
        <v>-4.235140443026625E-4</v>
      </c>
      <c r="K7">
        <v>-3.4428647244401367E-4</v>
      </c>
      <c r="L7">
        <v>1.1717344652926954E-4</v>
      </c>
      <c r="M7">
        <v>-1.158734007594656E-4</v>
      </c>
      <c r="N7">
        <v>1.0662598366247217E-4</v>
      </c>
      <c r="O7">
        <v>-6.1178942300177207E-7</v>
      </c>
      <c r="P7">
        <v>1.2868872753313059E-8</v>
      </c>
      <c r="Q7">
        <v>-1.7830999807219149E-5</v>
      </c>
      <c r="R7">
        <v>-3.1891966897457211E-6</v>
      </c>
      <c r="S7">
        <v>-2.9998962815548473E-5</v>
      </c>
      <c r="T7">
        <v>-1.9212156071374362E-5</v>
      </c>
      <c r="U7">
        <v>6.1384269080446158E-3</v>
      </c>
      <c r="V7">
        <v>4.5207160257934023E-4</v>
      </c>
      <c r="W7">
        <v>2.1136216032647306E-5</v>
      </c>
      <c r="X7">
        <v>1.947679797475229E-5</v>
      </c>
      <c r="Y7">
        <v>-6.4072474371853084E-5</v>
      </c>
      <c r="Z7">
        <v>-5.1588508130826459E-5</v>
      </c>
      <c r="AA7">
        <v>-2.6944412766714138E-5</v>
      </c>
      <c r="AB7">
        <v>-6.8576755440286595E-5</v>
      </c>
      <c r="AC7">
        <v>-3.4479355623712789E-5</v>
      </c>
      <c r="AD7">
        <v>-4.1195155869273165E-5</v>
      </c>
      <c r="AE7">
        <v>-3.7417058152144217E-5</v>
      </c>
      <c r="AF7">
        <v>-5.1274400063333614E-5</v>
      </c>
      <c r="AG7">
        <v>-5.6218683711873815E-5</v>
      </c>
      <c r="AH7">
        <v>-3.7064297590701928E-5</v>
      </c>
      <c r="AI7">
        <v>-6.0502644713976471E-6</v>
      </c>
      <c r="AJ7">
        <v>6.1557070383254624E-5</v>
      </c>
      <c r="AK7">
        <v>9.8870087648867799E-5</v>
      </c>
      <c r="AL7">
        <v>-5.068691241241069E-5</v>
      </c>
      <c r="AM7">
        <v>1.2098200736437078E-4</v>
      </c>
      <c r="AN7">
        <v>-3.735265673607672E-4</v>
      </c>
      <c r="AO7">
        <v>-9.9325765167284502E-3</v>
      </c>
    </row>
    <row r="8" spans="1:41" x14ac:dyDescent="0.2">
      <c r="A8" t="s">
        <v>38</v>
      </c>
      <c r="B8">
        <v>0.27701096840083628</v>
      </c>
      <c r="C8">
        <v>-2.1482989356781201E-4</v>
      </c>
      <c r="D8">
        <v>7.4785114856796975E-5</v>
      </c>
      <c r="E8">
        <v>-5.1179382433253842E-7</v>
      </c>
      <c r="F8">
        <v>3.7596649406085939E-3</v>
      </c>
      <c r="G8">
        <v>3.7837869219389765E-3</v>
      </c>
      <c r="H8">
        <v>3.5077681777745031E-3</v>
      </c>
      <c r="I8">
        <v>1.7202400999369826E-2</v>
      </c>
      <c r="J8">
        <v>1.1804282958330206E-2</v>
      </c>
      <c r="K8">
        <v>1.1527839955361576E-2</v>
      </c>
      <c r="L8">
        <v>-6.9201652524388381E-5</v>
      </c>
      <c r="M8">
        <v>5.8332553897789529E-5</v>
      </c>
      <c r="N8">
        <v>6.4623218574559691E-4</v>
      </c>
      <c r="O8">
        <v>-4.2249551079651348E-6</v>
      </c>
      <c r="P8">
        <v>-1.4311163427795472E-7</v>
      </c>
      <c r="Q8">
        <v>-1.3100364882182892E-5</v>
      </c>
      <c r="R8">
        <v>1.0809049711990137E-5</v>
      </c>
      <c r="S8">
        <v>1.4593853408087628E-3</v>
      </c>
      <c r="T8">
        <v>-1.8719119658752736E-5</v>
      </c>
      <c r="U8">
        <v>1.5340024769568584E-4</v>
      </c>
      <c r="V8">
        <v>-1.7498390685586788E-4</v>
      </c>
      <c r="W8">
        <v>-2.5771157040020102E-5</v>
      </c>
      <c r="X8">
        <v>1.7579729442637054E-4</v>
      </c>
      <c r="Y8">
        <v>1.1410155910912892E-4</v>
      </c>
      <c r="Z8">
        <v>1.6782393569546653E-4</v>
      </c>
      <c r="AA8">
        <v>1.5888448599908622E-4</v>
      </c>
      <c r="AB8">
        <v>1.0103415837004956E-4</v>
      </c>
      <c r="AC8">
        <v>9.3352120517173169E-5</v>
      </c>
      <c r="AD8">
        <v>1.0738083317742703E-4</v>
      </c>
      <c r="AE8">
        <v>2.2680071647108134E-4</v>
      </c>
      <c r="AF8">
        <v>1.9196768909450143E-4</v>
      </c>
      <c r="AG8">
        <v>6.3460905059212896E-5</v>
      </c>
      <c r="AH8">
        <v>1.8134928811831819E-4</v>
      </c>
      <c r="AI8">
        <v>-5.0321260027094347E-6</v>
      </c>
      <c r="AJ8">
        <v>3.3201256883086264E-5</v>
      </c>
      <c r="AK8">
        <v>2.0761590524592984E-5</v>
      </c>
      <c r="AL8">
        <v>-2.3263993680297697E-5</v>
      </c>
      <c r="AM8">
        <v>-1.908365514616088E-4</v>
      </c>
      <c r="AN8">
        <v>-1.3093939761328681E-4</v>
      </c>
      <c r="AO8">
        <v>-1.7683390600049129E-2</v>
      </c>
    </row>
    <row r="9" spans="1:41" x14ac:dyDescent="0.2">
      <c r="A9" t="s">
        <v>39</v>
      </c>
      <c r="B9">
        <v>-0.13083018080229078</v>
      </c>
      <c r="C9">
        <v>-2.0281174278332037E-4</v>
      </c>
      <c r="D9">
        <v>2.8969119071444761E-6</v>
      </c>
      <c r="E9">
        <v>2.6894650664326966E-8</v>
      </c>
      <c r="F9">
        <v>-1.7538668994074519E-4</v>
      </c>
      <c r="G9">
        <v>-1.1461915660744559E-4</v>
      </c>
      <c r="H9">
        <v>-4.235140443026625E-4</v>
      </c>
      <c r="I9">
        <v>1.1804282958330206E-2</v>
      </c>
      <c r="J9">
        <v>1.3104531194576538E-2</v>
      </c>
      <c r="K9">
        <v>1.1596945232445475E-2</v>
      </c>
      <c r="L9">
        <v>-1.6739242372060321E-4</v>
      </c>
      <c r="M9">
        <v>3.4571209806323849E-5</v>
      </c>
      <c r="N9">
        <v>3.429985885196659E-4</v>
      </c>
      <c r="O9">
        <v>-2.0865350287940416E-6</v>
      </c>
      <c r="P9">
        <v>4.1172375041969612E-6</v>
      </c>
      <c r="Q9">
        <v>-3.3090816531312559E-6</v>
      </c>
      <c r="R9">
        <v>9.7786109058373106E-6</v>
      </c>
      <c r="S9">
        <v>1.4556672730332658E-3</v>
      </c>
      <c r="T9">
        <v>-2.8821941846185082E-5</v>
      </c>
      <c r="U9">
        <v>1.3147810233764062E-4</v>
      </c>
      <c r="V9">
        <v>-3.200005723556006E-5</v>
      </c>
      <c r="W9">
        <v>5.6714386157765459E-6</v>
      </c>
      <c r="X9">
        <v>1.9331758381341702E-4</v>
      </c>
      <c r="Y9">
        <v>2.1587415240017279E-4</v>
      </c>
      <c r="Z9">
        <v>2.5575935254714202E-4</v>
      </c>
      <c r="AA9">
        <v>2.1726446013872833E-4</v>
      </c>
      <c r="AB9">
        <v>2.2197580072683392E-4</v>
      </c>
      <c r="AC9">
        <v>1.7798649508129691E-4</v>
      </c>
      <c r="AD9">
        <v>1.8726726421333054E-4</v>
      </c>
      <c r="AE9">
        <v>3.1430190166175254E-4</v>
      </c>
      <c r="AF9">
        <v>3.3736866050065525E-4</v>
      </c>
      <c r="AG9">
        <v>1.7265417599722586E-4</v>
      </c>
      <c r="AH9">
        <v>2.2489409572253212E-4</v>
      </c>
      <c r="AI9">
        <v>-4.8215257153526661E-7</v>
      </c>
      <c r="AJ9">
        <v>1.0343884957762675E-5</v>
      </c>
      <c r="AK9">
        <v>-3.1022375052324608E-5</v>
      </c>
      <c r="AL9">
        <v>-4.0498897956242272E-5</v>
      </c>
      <c r="AM9">
        <v>4.6673867946401063E-5</v>
      </c>
      <c r="AN9">
        <v>9.3843159362572078E-5</v>
      </c>
      <c r="AO9">
        <v>-1.2003185008033764E-2</v>
      </c>
    </row>
    <row r="10" spans="1:41" x14ac:dyDescent="0.2">
      <c r="A10" t="s">
        <v>40</v>
      </c>
      <c r="B10">
        <v>-0.220595290875129</v>
      </c>
      <c r="C10">
        <v>-1.9698112055252948E-4</v>
      </c>
      <c r="D10">
        <v>-5.1293566007181227E-6</v>
      </c>
      <c r="E10">
        <v>-3.4330381169187866E-8</v>
      </c>
      <c r="F10">
        <v>-2.2243443178015035E-5</v>
      </c>
      <c r="G10">
        <v>1.6447812265136391E-5</v>
      </c>
      <c r="H10">
        <v>-3.4428647244401367E-4</v>
      </c>
      <c r="I10">
        <v>1.1527839955361576E-2</v>
      </c>
      <c r="J10">
        <v>1.1596945232445475E-2</v>
      </c>
      <c r="K10">
        <v>1.2204478169314975E-2</v>
      </c>
      <c r="L10">
        <v>-5.9192000560201799E-5</v>
      </c>
      <c r="M10">
        <v>6.3454762358694571E-5</v>
      </c>
      <c r="N10">
        <v>6.1475653808487195E-4</v>
      </c>
      <c r="O10">
        <v>-2.8153646350878228E-6</v>
      </c>
      <c r="P10">
        <v>3.5604208075085218E-7</v>
      </c>
      <c r="Q10">
        <v>-3.0180719128588369E-6</v>
      </c>
      <c r="R10">
        <v>4.197405304445876E-6</v>
      </c>
      <c r="S10">
        <v>1.4249645701041144E-3</v>
      </c>
      <c r="T10">
        <v>1.3680499112053571E-5</v>
      </c>
      <c r="U10">
        <v>1.5827122860163131E-4</v>
      </c>
      <c r="V10">
        <v>-3.3566393131246941E-5</v>
      </c>
      <c r="W10">
        <v>3.6942815007430643E-5</v>
      </c>
      <c r="X10">
        <v>1.8801950390438544E-4</v>
      </c>
      <c r="Y10">
        <v>1.8757663487799225E-4</v>
      </c>
      <c r="Z10">
        <v>2.6358455677368779E-4</v>
      </c>
      <c r="AA10">
        <v>2.2074242532454328E-4</v>
      </c>
      <c r="AB10">
        <v>2.3373872330936275E-4</v>
      </c>
      <c r="AC10">
        <v>2.0176648379958365E-4</v>
      </c>
      <c r="AD10">
        <v>2.0478696991327794E-4</v>
      </c>
      <c r="AE10">
        <v>3.2140993383447322E-4</v>
      </c>
      <c r="AF10">
        <v>2.6629739082895641E-4</v>
      </c>
      <c r="AG10">
        <v>1.7954093011214502E-4</v>
      </c>
      <c r="AH10">
        <v>2.8241408743332266E-4</v>
      </c>
      <c r="AI10">
        <v>-6.0177306636770029E-6</v>
      </c>
      <c r="AJ10">
        <v>3.5348334600162289E-5</v>
      </c>
      <c r="AK10">
        <v>6.1836451938075514E-6</v>
      </c>
      <c r="AL10">
        <v>1.8802232961091445E-5</v>
      </c>
      <c r="AM10">
        <v>1.24386554567338E-4</v>
      </c>
      <c r="AN10">
        <v>1.3694421669625988E-4</v>
      </c>
      <c r="AO10">
        <v>-1.1389986318827906E-2</v>
      </c>
    </row>
    <row r="11" spans="1:41" x14ac:dyDescent="0.2">
      <c r="A11" t="s">
        <v>41</v>
      </c>
      <c r="B11">
        <v>-6.5898542576045605E-2</v>
      </c>
      <c r="C11">
        <v>8.1894549515689925E-6</v>
      </c>
      <c r="D11">
        <v>6.5820288389309676E-6</v>
      </c>
      <c r="E11">
        <v>-2.7472462339560928E-8</v>
      </c>
      <c r="F11">
        <v>1.3375300459902279E-4</v>
      </c>
      <c r="G11">
        <v>1.2966449585845107E-4</v>
      </c>
      <c r="H11">
        <v>1.1717344652926954E-4</v>
      </c>
      <c r="I11">
        <v>-6.9201652524388381E-5</v>
      </c>
      <c r="J11">
        <v>-1.6739242372060321E-4</v>
      </c>
      <c r="K11">
        <v>-5.9192000560201799E-5</v>
      </c>
      <c r="L11">
        <v>7.1628490877683913E-4</v>
      </c>
      <c r="M11">
        <v>1.2892533516755701E-4</v>
      </c>
      <c r="N11">
        <v>2.5497891490956439E-4</v>
      </c>
      <c r="O11">
        <v>5.5296996070154902E-7</v>
      </c>
      <c r="P11">
        <v>3.0412605044126142E-7</v>
      </c>
      <c r="Q11">
        <v>4.0580589847116877E-6</v>
      </c>
      <c r="R11">
        <v>-1.7939003234204251E-6</v>
      </c>
      <c r="S11">
        <v>-1.8357519220539136E-5</v>
      </c>
      <c r="T11">
        <v>-4.2619625454648068E-7</v>
      </c>
      <c r="U11">
        <v>-5.9359982179001397E-5</v>
      </c>
      <c r="V11">
        <v>3.0486475301924561E-5</v>
      </c>
      <c r="W11">
        <v>1.6718733261619045E-5</v>
      </c>
      <c r="X11">
        <v>-2.3135705415455786E-5</v>
      </c>
      <c r="Y11">
        <v>-1.940410523747972E-5</v>
      </c>
      <c r="Z11">
        <v>-8.1011175682210506E-6</v>
      </c>
      <c r="AA11">
        <v>3.0914567664991235E-6</v>
      </c>
      <c r="AB11">
        <v>4.6540803508312537E-6</v>
      </c>
      <c r="AC11">
        <v>-3.4379119259687701E-5</v>
      </c>
      <c r="AD11">
        <v>1.0339472736398472E-5</v>
      </c>
      <c r="AE11">
        <v>-5.0954988124157882E-6</v>
      </c>
      <c r="AF11">
        <v>-5.7782997464882213E-6</v>
      </c>
      <c r="AG11">
        <v>-1.7236252284112935E-5</v>
      </c>
      <c r="AH11">
        <v>-2.1328672572441516E-5</v>
      </c>
      <c r="AI11">
        <v>2.1577074690029227E-6</v>
      </c>
      <c r="AJ11">
        <v>-9.3919995001844223E-6</v>
      </c>
      <c r="AK11">
        <v>-2.7767286963715194E-5</v>
      </c>
      <c r="AL11">
        <v>-3.8154644868531337E-5</v>
      </c>
      <c r="AM11">
        <v>1.6349337700935143E-5</v>
      </c>
      <c r="AN11">
        <v>-3.6571821873742727E-7</v>
      </c>
      <c r="AO11">
        <v>-5.3264471876683173E-4</v>
      </c>
    </row>
    <row r="12" spans="1:41" x14ac:dyDescent="0.2">
      <c r="A12" t="s">
        <v>42</v>
      </c>
      <c r="B12">
        <v>-1.9230615601540504E-2</v>
      </c>
      <c r="C12">
        <v>4.210905023720357E-5</v>
      </c>
      <c r="D12">
        <v>1.5519692528067839E-5</v>
      </c>
      <c r="E12">
        <v>-1.3909825338766288E-7</v>
      </c>
      <c r="F12">
        <v>-1.1898654312101497E-4</v>
      </c>
      <c r="G12">
        <v>-1.204115287249499E-4</v>
      </c>
      <c r="H12">
        <v>-1.158734007594656E-4</v>
      </c>
      <c r="I12">
        <v>5.8332553897789529E-5</v>
      </c>
      <c r="J12">
        <v>3.4571209806323849E-5</v>
      </c>
      <c r="K12">
        <v>6.3454762358694571E-5</v>
      </c>
      <c r="L12">
        <v>1.2892533516755701E-4</v>
      </c>
      <c r="M12">
        <v>3.7341609783002224E-4</v>
      </c>
      <c r="N12">
        <v>1.8049812666026612E-4</v>
      </c>
      <c r="O12">
        <v>4.1399632499383178E-8</v>
      </c>
      <c r="P12">
        <v>8.3092952042133779E-7</v>
      </c>
      <c r="Q12">
        <v>-3.4030673416646147E-7</v>
      </c>
      <c r="R12">
        <v>-3.8446344016155356E-7</v>
      </c>
      <c r="S12">
        <v>2.4842222304176942E-6</v>
      </c>
      <c r="T12">
        <v>1.2423802773593568E-6</v>
      </c>
      <c r="U12">
        <v>-3.5835750230833503E-5</v>
      </c>
      <c r="V12">
        <v>-2.4746184041280107E-5</v>
      </c>
      <c r="W12">
        <v>-5.1158104223314229E-6</v>
      </c>
      <c r="X12">
        <v>-8.2837117877159958E-6</v>
      </c>
      <c r="Y12">
        <v>1.0860984595942444E-5</v>
      </c>
      <c r="Z12">
        <v>2.7258272081011044E-5</v>
      </c>
      <c r="AA12">
        <v>1.6044709611906613E-5</v>
      </c>
      <c r="AB12">
        <v>2.5060980907051203E-5</v>
      </c>
      <c r="AC12">
        <v>1.4099501174500285E-5</v>
      </c>
      <c r="AD12">
        <v>1.3223559615851331E-5</v>
      </c>
      <c r="AE12">
        <v>2.1323494472802939E-5</v>
      </c>
      <c r="AF12">
        <v>2.3545036581635161E-5</v>
      </c>
      <c r="AG12">
        <v>1.7991397734392158E-6</v>
      </c>
      <c r="AH12">
        <v>-2.6324054721328367E-5</v>
      </c>
      <c r="AI12">
        <v>1.1369720177345553E-6</v>
      </c>
      <c r="AJ12">
        <v>2.5309673873795169E-6</v>
      </c>
      <c r="AK12">
        <v>-1.4362917753664212E-5</v>
      </c>
      <c r="AL12">
        <v>-7.1004307677270543E-6</v>
      </c>
      <c r="AM12">
        <v>-4.9803772803059675E-5</v>
      </c>
      <c r="AN12">
        <v>8.0467284848784595E-6</v>
      </c>
      <c r="AO12">
        <v>-5.4347503702937617E-4</v>
      </c>
    </row>
    <row r="13" spans="1:41" x14ac:dyDescent="0.2">
      <c r="A13" t="s">
        <v>43</v>
      </c>
      <c r="B13">
        <v>0.73099038445991626</v>
      </c>
      <c r="C13">
        <v>1.2701171859775599E-4</v>
      </c>
      <c r="D13">
        <v>1.6638716657875959E-5</v>
      </c>
      <c r="E13">
        <v>-9.6028655779868831E-8</v>
      </c>
      <c r="F13">
        <v>3.7344987740634862E-5</v>
      </c>
      <c r="G13">
        <v>5.094138414353782E-5</v>
      </c>
      <c r="H13">
        <v>1.0662598366247217E-4</v>
      </c>
      <c r="I13">
        <v>6.4623218574559691E-4</v>
      </c>
      <c r="J13">
        <v>3.429985885196659E-4</v>
      </c>
      <c r="K13">
        <v>6.1475653808487195E-4</v>
      </c>
      <c r="L13">
        <v>2.5497891490956439E-4</v>
      </c>
      <c r="M13">
        <v>1.8049812666026612E-4</v>
      </c>
      <c r="N13">
        <v>1.8633400393540229E-3</v>
      </c>
      <c r="O13">
        <v>1.2826939911935838E-6</v>
      </c>
      <c r="P13">
        <v>3.8860695470380704E-6</v>
      </c>
      <c r="Q13">
        <v>-2.1072428649540238E-5</v>
      </c>
      <c r="R13">
        <v>-1.4658736258484349E-5</v>
      </c>
      <c r="S13">
        <v>5.4105566576822457E-5</v>
      </c>
      <c r="T13">
        <v>1.011895006943004E-5</v>
      </c>
      <c r="U13">
        <v>-3.6291728926823668E-5</v>
      </c>
      <c r="V13">
        <v>1.2454019817789634E-5</v>
      </c>
      <c r="W13">
        <v>5.0242081392482555E-5</v>
      </c>
      <c r="X13">
        <v>-5.9407096276536909E-7</v>
      </c>
      <c r="Y13">
        <v>2.0043511102908231E-5</v>
      </c>
      <c r="Z13">
        <v>-1.2439838741973384E-5</v>
      </c>
      <c r="AA13">
        <v>8.9544527678985138E-6</v>
      </c>
      <c r="AB13">
        <v>-1.0339314133404128E-5</v>
      </c>
      <c r="AC13">
        <v>3.268101871017491E-6</v>
      </c>
      <c r="AD13">
        <v>1.2459299904720182E-5</v>
      </c>
      <c r="AE13">
        <v>3.2324593594795629E-5</v>
      </c>
      <c r="AF13">
        <v>3.5356182515545922E-5</v>
      </c>
      <c r="AG13">
        <v>-2.5647707346161414E-5</v>
      </c>
      <c r="AH13">
        <v>-1.3492362165221355E-6</v>
      </c>
      <c r="AI13">
        <v>1.2914631081411079E-6</v>
      </c>
      <c r="AJ13">
        <v>-7.7214980168151135E-6</v>
      </c>
      <c r="AK13">
        <v>-3.590692086862554E-5</v>
      </c>
      <c r="AL13">
        <v>2.1437156211287847E-5</v>
      </c>
      <c r="AM13">
        <v>-2.3346176406656351E-4</v>
      </c>
      <c r="AN13">
        <v>2.149495372744241E-5</v>
      </c>
      <c r="AO13">
        <v>-1.6351911539369292E-3</v>
      </c>
    </row>
    <row r="14" spans="1:41" x14ac:dyDescent="0.2">
      <c r="A14" t="s">
        <v>25</v>
      </c>
      <c r="B14">
        <v>2.4061189597685308E-3</v>
      </c>
      <c r="C14">
        <v>-1.7497295950625759E-7</v>
      </c>
      <c r="D14">
        <v>-8.6086771049796205E-8</v>
      </c>
      <c r="E14">
        <v>2.1148430006926122E-9</v>
      </c>
      <c r="F14">
        <v>1.2969601210558365E-6</v>
      </c>
      <c r="G14">
        <v>5.0959463310685117E-7</v>
      </c>
      <c r="H14">
        <v>-6.1178942300177207E-7</v>
      </c>
      <c r="I14">
        <v>-4.2249551079651348E-6</v>
      </c>
      <c r="J14">
        <v>-2.0865350287940416E-6</v>
      </c>
      <c r="K14">
        <v>-2.8153646350878228E-6</v>
      </c>
      <c r="L14">
        <v>5.5296996070154902E-7</v>
      </c>
      <c r="M14">
        <v>4.1399632499383178E-8</v>
      </c>
      <c r="N14">
        <v>1.2826939911935838E-6</v>
      </c>
      <c r="O14">
        <v>6.8703122813013553E-7</v>
      </c>
      <c r="P14">
        <v>2.5470424701487837E-8</v>
      </c>
      <c r="Q14">
        <v>8.7491726167514595E-9</v>
      </c>
      <c r="R14">
        <v>-1.4712316826131222E-7</v>
      </c>
      <c r="S14">
        <v>-4.2721712424711528E-7</v>
      </c>
      <c r="T14">
        <v>-4.8883269936618909E-8</v>
      </c>
      <c r="U14">
        <v>-1.6123690844685889E-7</v>
      </c>
      <c r="V14">
        <v>-1.4368869459250893E-7</v>
      </c>
      <c r="W14">
        <v>2.4953826555442012E-7</v>
      </c>
      <c r="X14">
        <v>1.3901111337025809E-6</v>
      </c>
      <c r="Y14">
        <v>1.5367862340798558E-6</v>
      </c>
      <c r="Z14">
        <v>1.4027510443817199E-6</v>
      </c>
      <c r="AA14">
        <v>1.6961246875567938E-6</v>
      </c>
      <c r="AB14">
        <v>1.1919746397203835E-6</v>
      </c>
      <c r="AC14">
        <v>4.4828910533661786E-7</v>
      </c>
      <c r="AD14">
        <v>1.0552367431550812E-6</v>
      </c>
      <c r="AE14">
        <v>1.1588138208037677E-6</v>
      </c>
      <c r="AF14">
        <v>1.5080568001169371E-6</v>
      </c>
      <c r="AG14">
        <v>1.0847780282102358E-6</v>
      </c>
      <c r="AH14">
        <v>2.0404636600742773E-6</v>
      </c>
      <c r="AI14">
        <v>-9.2098502222374316E-8</v>
      </c>
      <c r="AJ14">
        <v>4.1819625016412897E-7</v>
      </c>
      <c r="AK14">
        <v>2.4097581512832966E-7</v>
      </c>
      <c r="AL14">
        <v>2.6824416518418469E-6</v>
      </c>
      <c r="AM14">
        <v>6.5865566828911506E-7</v>
      </c>
      <c r="AN14">
        <v>3.3218327472711073E-7</v>
      </c>
      <c r="AO14">
        <v>-3.4412328805114424E-5</v>
      </c>
    </row>
    <row r="15" spans="1:41" x14ac:dyDescent="0.2">
      <c r="A15" t="s">
        <v>26</v>
      </c>
      <c r="B15">
        <v>-5.4951444714429628E-4</v>
      </c>
      <c r="C15">
        <v>-1.4994566257432325E-6</v>
      </c>
      <c r="D15">
        <v>-6.9108946552122495E-8</v>
      </c>
      <c r="E15">
        <v>1.8296118912667107E-10</v>
      </c>
      <c r="F15">
        <v>8.1910628557824584E-8</v>
      </c>
      <c r="G15">
        <v>-4.0553372933064993E-7</v>
      </c>
      <c r="H15">
        <v>1.2868872753313059E-8</v>
      </c>
      <c r="I15">
        <v>-1.4311163427795472E-7</v>
      </c>
      <c r="J15">
        <v>4.1172375041969612E-6</v>
      </c>
      <c r="K15">
        <v>3.5604208075085218E-7</v>
      </c>
      <c r="L15">
        <v>3.0412605044126142E-7</v>
      </c>
      <c r="M15">
        <v>8.3092952042133779E-7</v>
      </c>
      <c r="N15">
        <v>3.8860695470380704E-6</v>
      </c>
      <c r="O15">
        <v>2.5470424701487837E-8</v>
      </c>
      <c r="P15">
        <v>7.7448254399679276E-7</v>
      </c>
      <c r="Q15">
        <v>5.5139222242136107E-8</v>
      </c>
      <c r="R15">
        <v>-7.2263544241989933E-8</v>
      </c>
      <c r="S15">
        <v>1.2026104064468912E-7</v>
      </c>
      <c r="T15">
        <v>-3.6325101316135432E-8</v>
      </c>
      <c r="U15">
        <v>9.8472813517485784E-7</v>
      </c>
      <c r="V15">
        <v>-2.5684142089853978E-7</v>
      </c>
      <c r="W15">
        <v>4.7450994563532515E-7</v>
      </c>
      <c r="X15">
        <v>1.3667473341591159E-6</v>
      </c>
      <c r="Y15">
        <v>-1.2205623820798887E-7</v>
      </c>
      <c r="Z15">
        <v>3.3887815113322334E-7</v>
      </c>
      <c r="AA15">
        <v>2.3487861934064162E-7</v>
      </c>
      <c r="AB15">
        <v>4.8278200368771611E-8</v>
      </c>
      <c r="AC15">
        <v>1.6910221310039805E-7</v>
      </c>
      <c r="AD15">
        <v>7.9559954278788451E-8</v>
      </c>
      <c r="AE15">
        <v>-1.1531420086612532E-7</v>
      </c>
      <c r="AF15">
        <v>5.6167857080769169E-7</v>
      </c>
      <c r="AG15">
        <v>-1.3816251803550549E-7</v>
      </c>
      <c r="AH15">
        <v>-5.9766201944890521E-7</v>
      </c>
      <c r="AI15">
        <v>1.0739338744573655E-7</v>
      </c>
      <c r="AJ15">
        <v>6.8130810537432314E-7</v>
      </c>
      <c r="AK15">
        <v>-4.1046482608823862E-7</v>
      </c>
      <c r="AL15">
        <v>3.0949798945521115E-7</v>
      </c>
      <c r="AM15">
        <v>-1.3473379300942798E-6</v>
      </c>
      <c r="AN15">
        <v>-2.8911255497816797E-7</v>
      </c>
      <c r="AO15">
        <v>-3.9414064892512451E-5</v>
      </c>
    </row>
    <row r="16" spans="1:41" x14ac:dyDescent="0.2">
      <c r="A16" t="s">
        <v>27</v>
      </c>
      <c r="B16">
        <v>0.32101940541753954</v>
      </c>
      <c r="C16">
        <v>-5.3531954898500678E-6</v>
      </c>
      <c r="D16">
        <v>-1.5363473167648836E-6</v>
      </c>
      <c r="E16">
        <v>1.2071455525683006E-8</v>
      </c>
      <c r="F16">
        <v>-8.9935519123179311E-6</v>
      </c>
      <c r="G16">
        <v>-1.381437123236203E-5</v>
      </c>
      <c r="H16">
        <v>-1.7830999807219149E-5</v>
      </c>
      <c r="I16">
        <v>-1.3100364882182892E-5</v>
      </c>
      <c r="J16">
        <v>-3.3090816531312559E-6</v>
      </c>
      <c r="K16">
        <v>-3.0180719128588369E-6</v>
      </c>
      <c r="L16">
        <v>4.0580589847116877E-6</v>
      </c>
      <c r="M16">
        <v>-3.4030673416646147E-7</v>
      </c>
      <c r="N16">
        <v>-2.1072428649540238E-5</v>
      </c>
      <c r="O16">
        <v>8.7491726167514595E-9</v>
      </c>
      <c r="P16">
        <v>5.5139222242136107E-8</v>
      </c>
      <c r="Q16">
        <v>1.1601900447638857E-5</v>
      </c>
      <c r="R16">
        <v>-4.7609419655920177E-6</v>
      </c>
      <c r="S16">
        <v>1.5171828769453347E-7</v>
      </c>
      <c r="T16">
        <v>8.4259698380449935E-9</v>
      </c>
      <c r="U16">
        <v>3.8844588701887993E-6</v>
      </c>
      <c r="V16">
        <v>-9.2919680305205174E-6</v>
      </c>
      <c r="W16">
        <v>3.5544472994531202E-6</v>
      </c>
      <c r="X16">
        <v>3.5711153580506352E-6</v>
      </c>
      <c r="Y16">
        <v>-1.504005481065486E-6</v>
      </c>
      <c r="Z16">
        <v>2.3858785942767252E-6</v>
      </c>
      <c r="AA16">
        <v>2.6211609166098939E-6</v>
      </c>
      <c r="AB16">
        <v>2.7056622169269754E-6</v>
      </c>
      <c r="AC16">
        <v>-2.605222214710218E-7</v>
      </c>
      <c r="AD16">
        <v>2.2235757076069299E-7</v>
      </c>
      <c r="AE16">
        <v>1.9952754419359006E-6</v>
      </c>
      <c r="AF16">
        <v>1.6453882928232472E-6</v>
      </c>
      <c r="AG16">
        <v>1.8468786782031236E-6</v>
      </c>
      <c r="AH16">
        <v>7.0368485019082529E-6</v>
      </c>
      <c r="AI16">
        <v>-5.1425011715164568E-7</v>
      </c>
      <c r="AJ16">
        <v>9.1814994879830936E-7</v>
      </c>
      <c r="AK16">
        <v>-1.054177749221697E-6</v>
      </c>
      <c r="AL16">
        <v>4.360097564354723E-6</v>
      </c>
      <c r="AM16">
        <v>7.5876166278275667E-6</v>
      </c>
      <c r="AN16">
        <v>2.3418804342724383E-6</v>
      </c>
      <c r="AO16">
        <v>3.9048960126226072E-5</v>
      </c>
    </row>
    <row r="17" spans="1:41" x14ac:dyDescent="0.2">
      <c r="A17" t="s">
        <v>30</v>
      </c>
      <c r="B17">
        <v>0.18199430815223844</v>
      </c>
      <c r="C17">
        <v>-1.5155861303181157E-6</v>
      </c>
      <c r="D17">
        <v>-1.0323995032636984E-6</v>
      </c>
      <c r="E17">
        <v>6.9027045606345152E-9</v>
      </c>
      <c r="F17">
        <v>3.2648476094202612E-6</v>
      </c>
      <c r="G17">
        <v>-1.8119194206678551E-6</v>
      </c>
      <c r="H17">
        <v>-3.1891966897457211E-6</v>
      </c>
      <c r="I17">
        <v>1.0809049711990137E-5</v>
      </c>
      <c r="J17">
        <v>9.7786109058373106E-6</v>
      </c>
      <c r="K17">
        <v>4.197405304445876E-6</v>
      </c>
      <c r="L17">
        <v>-1.7939003234204251E-6</v>
      </c>
      <c r="M17">
        <v>-3.8446344016155356E-7</v>
      </c>
      <c r="N17">
        <v>-1.4658736258484349E-5</v>
      </c>
      <c r="O17">
        <v>-1.4712316826131222E-7</v>
      </c>
      <c r="P17">
        <v>-7.2263544241989933E-8</v>
      </c>
      <c r="Q17">
        <v>-4.7609419655920177E-6</v>
      </c>
      <c r="R17">
        <v>1.1150782209757761E-5</v>
      </c>
      <c r="S17">
        <v>7.5923353179606576E-7</v>
      </c>
      <c r="T17">
        <v>2.4255305955835532E-7</v>
      </c>
      <c r="U17">
        <v>1.8115261826775311E-6</v>
      </c>
      <c r="V17">
        <v>3.7614338410968937E-6</v>
      </c>
      <c r="W17">
        <v>-8.8743232831516762E-6</v>
      </c>
      <c r="X17">
        <v>2.7847085968823145E-6</v>
      </c>
      <c r="Y17">
        <v>3.0855959356359218E-6</v>
      </c>
      <c r="Z17">
        <v>3.4751760238601689E-6</v>
      </c>
      <c r="AA17">
        <v>4.0002632136896821E-6</v>
      </c>
      <c r="AB17">
        <v>4.1242177368102914E-6</v>
      </c>
      <c r="AC17">
        <v>3.8285429501234542E-6</v>
      </c>
      <c r="AD17">
        <v>1.9299184412870309E-6</v>
      </c>
      <c r="AE17">
        <v>1.7934340091596027E-6</v>
      </c>
      <c r="AF17">
        <v>5.1088331275691533E-6</v>
      </c>
      <c r="AG17">
        <v>3.7157442196078464E-6</v>
      </c>
      <c r="AH17">
        <v>7.9785047095782016E-6</v>
      </c>
      <c r="AI17">
        <v>-4.1274933972214283E-7</v>
      </c>
      <c r="AJ17">
        <v>-3.0026586103662999E-6</v>
      </c>
      <c r="AK17">
        <v>-9.4064923805574666E-7</v>
      </c>
      <c r="AL17">
        <v>4.3602632495354624E-6</v>
      </c>
      <c r="AM17">
        <v>8.5273760411916494E-6</v>
      </c>
      <c r="AN17">
        <v>-1.3519412269040332E-6</v>
      </c>
      <c r="AO17">
        <v>2.36790758807643E-5</v>
      </c>
    </row>
    <row r="18" spans="1:41" x14ac:dyDescent="0.2">
      <c r="A18" t="s">
        <v>28</v>
      </c>
      <c r="B18">
        <v>-3.8694412805777539E-2</v>
      </c>
      <c r="C18">
        <v>-2.7620411428961927E-5</v>
      </c>
      <c r="D18">
        <v>5.5876228779143936E-7</v>
      </c>
      <c r="E18">
        <v>-3.1988844452291347E-10</v>
      </c>
      <c r="F18">
        <v>6.8287526519025636E-6</v>
      </c>
      <c r="G18">
        <v>1.1571335260837905E-5</v>
      </c>
      <c r="H18">
        <v>-2.9998962815548473E-5</v>
      </c>
      <c r="I18">
        <v>1.4593853408087628E-3</v>
      </c>
      <c r="J18">
        <v>1.4556672730332658E-3</v>
      </c>
      <c r="K18">
        <v>1.4249645701041144E-3</v>
      </c>
      <c r="L18">
        <v>-1.8357519220539136E-5</v>
      </c>
      <c r="M18">
        <v>2.4842222304176942E-6</v>
      </c>
      <c r="N18">
        <v>5.4105566576822457E-5</v>
      </c>
      <c r="O18">
        <v>-4.2721712424711528E-7</v>
      </c>
      <c r="P18">
        <v>1.2026104064468912E-7</v>
      </c>
      <c r="Q18">
        <v>1.5171828769453347E-7</v>
      </c>
      <c r="R18">
        <v>7.5923353179606576E-7</v>
      </c>
      <c r="S18">
        <v>1.8790441831825923E-4</v>
      </c>
      <c r="T18">
        <v>-1.204340653765642E-5</v>
      </c>
      <c r="U18">
        <v>2.2667954182227437E-5</v>
      </c>
      <c r="V18">
        <v>-3.2175161054576769E-6</v>
      </c>
      <c r="W18">
        <v>-5.9199268637936101E-7</v>
      </c>
      <c r="X18">
        <v>2.4243117898736094E-5</v>
      </c>
      <c r="Y18">
        <v>2.3648806993229214E-5</v>
      </c>
      <c r="Z18">
        <v>3.0272815808334648E-5</v>
      </c>
      <c r="AA18">
        <v>2.5379399672141698E-5</v>
      </c>
      <c r="AB18">
        <v>2.5110318518800916E-5</v>
      </c>
      <c r="AC18">
        <v>2.1599967874859544E-5</v>
      </c>
      <c r="AD18">
        <v>2.285369778478848E-5</v>
      </c>
      <c r="AE18">
        <v>3.8522938112803403E-5</v>
      </c>
      <c r="AF18">
        <v>3.3840850845642248E-5</v>
      </c>
      <c r="AG18">
        <v>2.1868524564750769E-5</v>
      </c>
      <c r="AH18">
        <v>3.1396407090413837E-5</v>
      </c>
      <c r="AI18">
        <v>-6.3526554197946053E-7</v>
      </c>
      <c r="AJ18">
        <v>3.2842986229052304E-6</v>
      </c>
      <c r="AK18">
        <v>3.2311034194818238E-6</v>
      </c>
      <c r="AL18">
        <v>1.5812283678210293E-6</v>
      </c>
      <c r="AM18">
        <v>6.3811692009050963E-6</v>
      </c>
      <c r="AN18">
        <v>9.1544779203937311E-6</v>
      </c>
      <c r="AO18">
        <v>-1.4532553599207057E-3</v>
      </c>
    </row>
    <row r="19" spans="1:41" x14ac:dyDescent="0.2">
      <c r="A19" t="s">
        <v>29</v>
      </c>
      <c r="B19">
        <v>3.7080645074375348E-3</v>
      </c>
      <c r="C19">
        <v>-2.1198305847822032E-6</v>
      </c>
      <c r="D19">
        <v>-1.906141394442337E-6</v>
      </c>
      <c r="E19">
        <v>1.7179436440066767E-8</v>
      </c>
      <c r="F19">
        <v>-1.4881497935950483E-5</v>
      </c>
      <c r="G19">
        <v>-1.6205770632285238E-5</v>
      </c>
      <c r="H19">
        <v>-1.9212156071374362E-5</v>
      </c>
      <c r="I19">
        <v>-1.8719119658752736E-5</v>
      </c>
      <c r="J19">
        <v>-2.8821941846185082E-5</v>
      </c>
      <c r="K19">
        <v>1.3680499112053571E-5</v>
      </c>
      <c r="L19">
        <v>-4.2619625454648068E-7</v>
      </c>
      <c r="M19">
        <v>1.2423802773593568E-6</v>
      </c>
      <c r="N19">
        <v>1.011895006943004E-5</v>
      </c>
      <c r="O19">
        <v>-4.8883269936618909E-8</v>
      </c>
      <c r="P19">
        <v>-3.6325101316135432E-8</v>
      </c>
      <c r="Q19">
        <v>8.4259698380449935E-9</v>
      </c>
      <c r="R19">
        <v>2.4255305955835532E-7</v>
      </c>
      <c r="S19">
        <v>-1.204340653765642E-5</v>
      </c>
      <c r="T19">
        <v>1.5603879014813513E-5</v>
      </c>
      <c r="U19">
        <v>3.7209661049985607E-6</v>
      </c>
      <c r="V19">
        <v>-2.7959405766019147E-6</v>
      </c>
      <c r="W19">
        <v>6.3463550337686923E-6</v>
      </c>
      <c r="X19">
        <v>5.2767865323154824E-6</v>
      </c>
      <c r="Y19">
        <v>3.8629493467788332E-6</v>
      </c>
      <c r="Z19">
        <v>4.5389563445669565E-6</v>
      </c>
      <c r="AA19">
        <v>5.0329725697308004E-6</v>
      </c>
      <c r="AB19">
        <v>5.9079807172247859E-6</v>
      </c>
      <c r="AC19">
        <v>5.1129125953702727E-6</v>
      </c>
      <c r="AD19">
        <v>4.2017440842042376E-6</v>
      </c>
      <c r="AE19">
        <v>1.9993068742495416E-6</v>
      </c>
      <c r="AF19">
        <v>1.3266782062245318E-6</v>
      </c>
      <c r="AG19">
        <v>4.1685128356888369E-6</v>
      </c>
      <c r="AH19">
        <v>4.4802358807926793E-6</v>
      </c>
      <c r="AI19">
        <v>1.002920551799693E-8</v>
      </c>
      <c r="AJ19">
        <v>8.1024936755244878E-7</v>
      </c>
      <c r="AK19">
        <v>-1.8790865562880466E-6</v>
      </c>
      <c r="AL19">
        <v>4.1565977843359262E-6</v>
      </c>
      <c r="AM19">
        <v>3.3731538269457658E-7</v>
      </c>
      <c r="AN19">
        <v>5.5980648424887219E-6</v>
      </c>
      <c r="AO19">
        <v>4.3550605793786731E-5</v>
      </c>
    </row>
    <row r="20" spans="1:41" x14ac:dyDescent="0.2">
      <c r="A20" t="s">
        <v>31</v>
      </c>
      <c r="B20">
        <v>-0.36430315367415605</v>
      </c>
      <c r="C20">
        <v>-2.8822877679508536E-4</v>
      </c>
      <c r="D20">
        <v>-4.4341956205474726E-6</v>
      </c>
      <c r="E20">
        <v>4.2761529986377843E-8</v>
      </c>
      <c r="F20">
        <v>6.1385980952299761E-3</v>
      </c>
      <c r="G20">
        <v>6.1462854747710918E-3</v>
      </c>
      <c r="H20">
        <v>6.1384269080446158E-3</v>
      </c>
      <c r="I20">
        <v>1.5340024769568584E-4</v>
      </c>
      <c r="J20">
        <v>1.3147810233764062E-4</v>
      </c>
      <c r="K20">
        <v>1.5827122860163131E-4</v>
      </c>
      <c r="L20">
        <v>-5.9359982179001397E-5</v>
      </c>
      <c r="M20">
        <v>-3.5835750230833503E-5</v>
      </c>
      <c r="N20">
        <v>-3.6291728926823668E-5</v>
      </c>
      <c r="O20">
        <v>-1.6123690844685889E-7</v>
      </c>
      <c r="P20">
        <v>9.8472813517485784E-7</v>
      </c>
      <c r="Q20">
        <v>3.8844588701887993E-6</v>
      </c>
      <c r="R20">
        <v>1.8115261826775311E-6</v>
      </c>
      <c r="S20">
        <v>2.2667954182227437E-5</v>
      </c>
      <c r="T20">
        <v>3.7209661049985607E-6</v>
      </c>
      <c r="U20">
        <v>1.1644539333535297E-2</v>
      </c>
      <c r="V20">
        <v>-1.0223170931739862E-4</v>
      </c>
      <c r="W20">
        <v>1.5937046494444022E-4</v>
      </c>
      <c r="X20">
        <v>3.1826020856388438E-5</v>
      </c>
      <c r="Y20">
        <v>3.8735762464430813E-6</v>
      </c>
      <c r="Z20">
        <v>3.6437536051429215E-6</v>
      </c>
      <c r="AA20">
        <v>-2.9864091541253416E-5</v>
      </c>
      <c r="AB20">
        <v>2.4005810665534387E-6</v>
      </c>
      <c r="AC20">
        <v>4.2278366294635009E-5</v>
      </c>
      <c r="AD20">
        <v>5.0246663796556235E-7</v>
      </c>
      <c r="AE20">
        <v>-1.5976618135946953E-5</v>
      </c>
      <c r="AF20">
        <v>-1.3400756878829793E-5</v>
      </c>
      <c r="AG20">
        <v>1.7630805351126315E-5</v>
      </c>
      <c r="AH20">
        <v>-9.9054433085063801E-6</v>
      </c>
      <c r="AI20">
        <v>-2.1012062283929907E-7</v>
      </c>
      <c r="AJ20">
        <v>5.9819515368629409E-5</v>
      </c>
      <c r="AK20">
        <v>8.8653273735612471E-6</v>
      </c>
      <c r="AL20">
        <v>1.494733494110086E-5</v>
      </c>
      <c r="AM20">
        <v>2.0260676060123795E-4</v>
      </c>
      <c r="AN20">
        <v>-1.0687572921089033E-4</v>
      </c>
      <c r="AO20">
        <v>-6.1314241443372903E-3</v>
      </c>
    </row>
    <row r="21" spans="1:41" x14ac:dyDescent="0.2">
      <c r="A21" t="s">
        <v>34</v>
      </c>
      <c r="B21">
        <v>-1.188533626989751E-2</v>
      </c>
      <c r="C21">
        <v>-3.9636565451835394E-7</v>
      </c>
      <c r="D21">
        <v>-3.5751014008635762E-6</v>
      </c>
      <c r="E21">
        <v>3.1729360639813617E-8</v>
      </c>
      <c r="F21">
        <v>4.353053598163155E-4</v>
      </c>
      <c r="G21">
        <v>4.4083844204282762E-4</v>
      </c>
      <c r="H21">
        <v>4.5207160257934023E-4</v>
      </c>
      <c r="I21">
        <v>-1.7498390685586788E-4</v>
      </c>
      <c r="J21">
        <v>-3.200005723556006E-5</v>
      </c>
      <c r="K21">
        <v>-3.3566393131246941E-5</v>
      </c>
      <c r="L21">
        <v>3.0486475301924561E-5</v>
      </c>
      <c r="M21">
        <v>-2.4746184041280107E-5</v>
      </c>
      <c r="N21">
        <v>1.2454019817789634E-5</v>
      </c>
      <c r="O21">
        <v>-1.4368869459250893E-7</v>
      </c>
      <c r="P21">
        <v>-2.5684142089853978E-7</v>
      </c>
      <c r="Q21">
        <v>-9.2919680305205174E-6</v>
      </c>
      <c r="R21">
        <v>3.7614338410968937E-6</v>
      </c>
      <c r="S21">
        <v>-3.2175161054576769E-6</v>
      </c>
      <c r="T21">
        <v>-2.7959405766019147E-6</v>
      </c>
      <c r="U21">
        <v>-1.0223170931739862E-4</v>
      </c>
      <c r="V21">
        <v>3.8064939705346535E-4</v>
      </c>
      <c r="W21">
        <v>-2.1829311823457948E-4</v>
      </c>
      <c r="X21">
        <v>-4.2171250872596392E-5</v>
      </c>
      <c r="Y21">
        <v>-3.6492180626095707E-5</v>
      </c>
      <c r="Z21">
        <v>-3.6384994292426424E-5</v>
      </c>
      <c r="AA21">
        <v>-2.2757776146980493E-5</v>
      </c>
      <c r="AB21">
        <v>-3.3818519236947242E-5</v>
      </c>
      <c r="AC21">
        <v>-3.2894448644725673E-5</v>
      </c>
      <c r="AD21">
        <v>-3.6691157682056043E-5</v>
      </c>
      <c r="AE21">
        <v>-3.2854031895269867E-5</v>
      </c>
      <c r="AF21">
        <v>-3.4530244127135346E-5</v>
      </c>
      <c r="AG21">
        <v>-3.6502673171915479E-5</v>
      </c>
      <c r="AH21">
        <v>-4.5853994645755187E-5</v>
      </c>
      <c r="AI21">
        <v>-2.6117751414786622E-6</v>
      </c>
      <c r="AJ21">
        <v>-3.2347853464789361E-6</v>
      </c>
      <c r="AK21">
        <v>1.7587659597234653E-5</v>
      </c>
      <c r="AL21">
        <v>-3.4887030744449785E-5</v>
      </c>
      <c r="AM21">
        <v>3.7464520572953524E-8</v>
      </c>
      <c r="AN21">
        <v>-4.5810806777508573E-5</v>
      </c>
      <c r="AO21">
        <v>-1.8628682513069592E-4</v>
      </c>
    </row>
    <row r="22" spans="1:41" x14ac:dyDescent="0.2">
      <c r="A22" t="s">
        <v>35</v>
      </c>
      <c r="B22">
        <v>-7.7489399593054134E-2</v>
      </c>
      <c r="C22">
        <v>1.4174068357892552E-6</v>
      </c>
      <c r="D22">
        <v>3.9842410610886603E-6</v>
      </c>
      <c r="E22">
        <v>-2.5907375506243169E-8</v>
      </c>
      <c r="F22">
        <v>2.496789852656864E-5</v>
      </c>
      <c r="G22">
        <v>2.9067748655235758E-5</v>
      </c>
      <c r="H22">
        <v>2.1136216032647306E-5</v>
      </c>
      <c r="I22">
        <v>-2.5771157040020102E-5</v>
      </c>
      <c r="J22">
        <v>5.6714386157765459E-6</v>
      </c>
      <c r="K22">
        <v>3.6942815007430643E-5</v>
      </c>
      <c r="L22">
        <v>1.6718733261619045E-5</v>
      </c>
      <c r="M22">
        <v>-5.1158104223314229E-6</v>
      </c>
      <c r="N22">
        <v>5.0242081392482555E-5</v>
      </c>
      <c r="O22">
        <v>2.4953826555442012E-7</v>
      </c>
      <c r="P22">
        <v>4.7450994563532515E-7</v>
      </c>
      <c r="Q22">
        <v>3.5544472994531202E-6</v>
      </c>
      <c r="R22">
        <v>-8.8743232831516762E-6</v>
      </c>
      <c r="S22">
        <v>-5.9199268637936101E-7</v>
      </c>
      <c r="T22">
        <v>6.3463550337686923E-6</v>
      </c>
      <c r="U22">
        <v>1.5937046494444022E-4</v>
      </c>
      <c r="V22">
        <v>-2.1829311823457948E-4</v>
      </c>
      <c r="W22">
        <v>4.505702228519633E-4</v>
      </c>
      <c r="X22">
        <v>2.2267316220322966E-5</v>
      </c>
      <c r="Y22">
        <v>1.6459516628044597E-5</v>
      </c>
      <c r="Z22">
        <v>1.7788278749991269E-5</v>
      </c>
      <c r="AA22">
        <v>1.4959518335558574E-5</v>
      </c>
      <c r="AB22">
        <v>1.2256987475766466E-5</v>
      </c>
      <c r="AC22">
        <v>1.1370198167314692E-5</v>
      </c>
      <c r="AD22">
        <v>2.7415371564933384E-5</v>
      </c>
      <c r="AE22">
        <v>2.2847682324736845E-5</v>
      </c>
      <c r="AF22">
        <v>1.0464264032593058E-5</v>
      </c>
      <c r="AG22">
        <v>9.1364941528406104E-6</v>
      </c>
      <c r="AH22">
        <v>4.9058344433261308E-6</v>
      </c>
      <c r="AI22">
        <v>6.7690004293506018E-7</v>
      </c>
      <c r="AJ22">
        <v>1.1983035947653388E-5</v>
      </c>
      <c r="AK22">
        <v>-7.4965991660001983E-6</v>
      </c>
      <c r="AL22">
        <v>-4.7423909737680394E-6</v>
      </c>
      <c r="AM22">
        <v>-2.2093305674106029E-5</v>
      </c>
      <c r="AN22">
        <v>1.3576098416109926E-5</v>
      </c>
      <c r="AO22">
        <v>-2.5793828263008615E-4</v>
      </c>
    </row>
    <row r="23" spans="1:41" x14ac:dyDescent="0.2">
      <c r="A23" t="s">
        <v>85</v>
      </c>
      <c r="B23">
        <v>-0.19208505236403786</v>
      </c>
      <c r="C23">
        <v>2.0168199028296503E-5</v>
      </c>
      <c r="D23">
        <v>-6.62828823065052E-6</v>
      </c>
      <c r="E23">
        <v>6.442376101016617E-8</v>
      </c>
      <c r="F23">
        <v>-1.6532332280979733E-5</v>
      </c>
      <c r="G23">
        <v>-4.8207241153179221E-5</v>
      </c>
      <c r="H23">
        <v>1.947679797475229E-5</v>
      </c>
      <c r="I23">
        <v>1.7579729442637054E-4</v>
      </c>
      <c r="J23">
        <v>1.9331758381341702E-4</v>
      </c>
      <c r="K23">
        <v>1.8801950390438544E-4</v>
      </c>
      <c r="L23">
        <v>-2.3135705415455786E-5</v>
      </c>
      <c r="M23">
        <v>-8.2837117877159958E-6</v>
      </c>
      <c r="N23">
        <v>-5.9407096276536909E-7</v>
      </c>
      <c r="O23">
        <v>1.3901111337025809E-6</v>
      </c>
      <c r="P23">
        <v>1.3667473341591159E-6</v>
      </c>
      <c r="Q23">
        <v>3.5711153580506352E-6</v>
      </c>
      <c r="R23">
        <v>2.7847085968823145E-6</v>
      </c>
      <c r="S23">
        <v>2.4243117898736094E-5</v>
      </c>
      <c r="T23">
        <v>5.2767865323154824E-6</v>
      </c>
      <c r="U23">
        <v>3.1826020856388438E-5</v>
      </c>
      <c r="V23">
        <v>-4.2171250872596392E-5</v>
      </c>
      <c r="W23">
        <v>2.2267316220322966E-5</v>
      </c>
      <c r="X23">
        <v>3.1912064448275808E-3</v>
      </c>
      <c r="Y23">
        <v>1.1462723828315766E-3</v>
      </c>
      <c r="Z23">
        <v>1.1446002998360219E-3</v>
      </c>
      <c r="AA23">
        <v>1.1474835875126049E-3</v>
      </c>
      <c r="AB23">
        <v>1.1382807260700068E-3</v>
      </c>
      <c r="AC23">
        <v>1.1330792745698126E-3</v>
      </c>
      <c r="AD23">
        <v>1.1353302464221647E-3</v>
      </c>
      <c r="AE23">
        <v>1.1491409810139562E-3</v>
      </c>
      <c r="AF23">
        <v>1.1516990394320019E-3</v>
      </c>
      <c r="AG23">
        <v>1.1433089043846024E-3</v>
      </c>
      <c r="AH23">
        <v>1.156088777470512E-3</v>
      </c>
      <c r="AI23">
        <v>-2.406748343850731E-6</v>
      </c>
      <c r="AJ23">
        <v>7.4472301365814886E-6</v>
      </c>
      <c r="AK23">
        <v>4.1534465893145866E-5</v>
      </c>
      <c r="AL23">
        <v>4.3167713099429288E-4</v>
      </c>
      <c r="AM23">
        <v>5.6211412798343229E-4</v>
      </c>
      <c r="AN23">
        <v>3.6870726973791697E-4</v>
      </c>
      <c r="AO23">
        <v>-1.3249923004581138E-3</v>
      </c>
    </row>
    <row r="24" spans="1:41" x14ac:dyDescent="0.2">
      <c r="A24" t="s">
        <v>86</v>
      </c>
      <c r="B24">
        <v>-4.434315815962258E-2</v>
      </c>
      <c r="C24">
        <v>1.8106941531879662E-5</v>
      </c>
      <c r="D24">
        <v>-5.8749730147544669E-6</v>
      </c>
      <c r="E24">
        <v>5.9953066277505631E-8</v>
      </c>
      <c r="F24">
        <v>-1.0237412987819904E-4</v>
      </c>
      <c r="G24">
        <v>-1.228132962425273E-4</v>
      </c>
      <c r="H24">
        <v>-6.4072474371853084E-5</v>
      </c>
      <c r="I24">
        <v>1.1410155910912892E-4</v>
      </c>
      <c r="J24">
        <v>2.1587415240017279E-4</v>
      </c>
      <c r="K24">
        <v>1.8757663487799225E-4</v>
      </c>
      <c r="L24">
        <v>-1.940410523747972E-5</v>
      </c>
      <c r="M24">
        <v>1.0860984595942444E-5</v>
      </c>
      <c r="N24">
        <v>2.0043511102908231E-5</v>
      </c>
      <c r="O24">
        <v>1.5367862340798558E-6</v>
      </c>
      <c r="P24">
        <v>-1.2205623820798887E-7</v>
      </c>
      <c r="Q24">
        <v>-1.504005481065486E-6</v>
      </c>
      <c r="R24">
        <v>3.0855959356359218E-6</v>
      </c>
      <c r="S24">
        <v>2.3648806993229214E-5</v>
      </c>
      <c r="T24">
        <v>3.8629493467788332E-6</v>
      </c>
      <c r="U24">
        <v>3.8735762464430813E-6</v>
      </c>
      <c r="V24">
        <v>-3.6492180626095707E-5</v>
      </c>
      <c r="W24">
        <v>1.6459516628044597E-5</v>
      </c>
      <c r="X24">
        <v>1.1462723828315766E-3</v>
      </c>
      <c r="Y24">
        <v>1.7464272414820748E-3</v>
      </c>
      <c r="Z24">
        <v>1.1348082437575792E-3</v>
      </c>
      <c r="AA24">
        <v>1.1384674243681905E-3</v>
      </c>
      <c r="AB24">
        <v>1.1317671210041736E-3</v>
      </c>
      <c r="AC24">
        <v>1.1263613681825988E-3</v>
      </c>
      <c r="AD24">
        <v>1.1288088774509353E-3</v>
      </c>
      <c r="AE24">
        <v>1.1411735626044033E-3</v>
      </c>
      <c r="AF24">
        <v>1.1437291788766741E-3</v>
      </c>
      <c r="AG24">
        <v>1.1362500912167786E-3</v>
      </c>
      <c r="AH24">
        <v>1.1430395724950368E-3</v>
      </c>
      <c r="AI24">
        <v>-2.7841855979974936E-6</v>
      </c>
      <c r="AJ24">
        <v>5.7781813867970191E-6</v>
      </c>
      <c r="AK24">
        <v>3.0331697781822671E-5</v>
      </c>
      <c r="AL24">
        <v>4.1651939614859387E-4</v>
      </c>
      <c r="AM24">
        <v>5.1452808297745476E-4</v>
      </c>
      <c r="AN24">
        <v>3.7067864703244107E-4</v>
      </c>
      <c r="AO24">
        <v>-1.1676906596602785E-3</v>
      </c>
    </row>
    <row r="25" spans="1:41" x14ac:dyDescent="0.2">
      <c r="A25" t="s">
        <v>87</v>
      </c>
      <c r="B25">
        <v>-0.14135347141675744</v>
      </c>
      <c r="C25">
        <v>1.7161597110758239E-5</v>
      </c>
      <c r="D25">
        <v>-5.2317340550204539E-6</v>
      </c>
      <c r="E25">
        <v>4.9275920947086171E-8</v>
      </c>
      <c r="F25">
        <v>-9.3292310732381693E-5</v>
      </c>
      <c r="G25">
        <v>-1.0352651447421632E-4</v>
      </c>
      <c r="H25">
        <v>-5.1588508130826459E-5</v>
      </c>
      <c r="I25">
        <v>1.6782393569546653E-4</v>
      </c>
      <c r="J25">
        <v>2.5575935254714202E-4</v>
      </c>
      <c r="K25">
        <v>2.6358455677368779E-4</v>
      </c>
      <c r="L25">
        <v>-8.1011175682210506E-6</v>
      </c>
      <c r="M25">
        <v>2.7258272081011044E-5</v>
      </c>
      <c r="N25">
        <v>-1.2439838741973384E-5</v>
      </c>
      <c r="O25">
        <v>1.4027510443817199E-6</v>
      </c>
      <c r="P25">
        <v>3.3887815113322334E-7</v>
      </c>
      <c r="Q25">
        <v>2.3858785942767252E-6</v>
      </c>
      <c r="R25">
        <v>3.4751760238601689E-6</v>
      </c>
      <c r="S25">
        <v>3.0272815808334648E-5</v>
      </c>
      <c r="T25">
        <v>4.5389563445669565E-6</v>
      </c>
      <c r="U25">
        <v>3.6437536051429215E-6</v>
      </c>
      <c r="V25">
        <v>-3.6384994292426424E-5</v>
      </c>
      <c r="W25">
        <v>1.7788278749991269E-5</v>
      </c>
      <c r="X25">
        <v>1.1446002998360219E-3</v>
      </c>
      <c r="Y25">
        <v>1.1348082437575792E-3</v>
      </c>
      <c r="Z25">
        <v>1.8176453141073138E-3</v>
      </c>
      <c r="AA25">
        <v>1.1397697042161762E-3</v>
      </c>
      <c r="AB25">
        <v>1.1287847856619564E-3</v>
      </c>
      <c r="AC25">
        <v>1.1250334927132334E-3</v>
      </c>
      <c r="AD25">
        <v>1.1257472987361522E-3</v>
      </c>
      <c r="AE25">
        <v>1.1382163653080777E-3</v>
      </c>
      <c r="AF25">
        <v>1.1397015606893035E-3</v>
      </c>
      <c r="AG25">
        <v>1.1336446885798399E-3</v>
      </c>
      <c r="AH25">
        <v>1.1415876819038287E-3</v>
      </c>
      <c r="AI25">
        <v>-5.6663899860740836E-6</v>
      </c>
      <c r="AJ25">
        <v>2.3340163107967145E-5</v>
      </c>
      <c r="AK25">
        <v>3.2388485034240801E-5</v>
      </c>
      <c r="AL25">
        <v>3.8107066925800785E-4</v>
      </c>
      <c r="AM25">
        <v>5.361527245212179E-4</v>
      </c>
      <c r="AN25">
        <v>3.1653769657156582E-4</v>
      </c>
      <c r="AO25">
        <v>-1.2297016688974341E-3</v>
      </c>
    </row>
    <row r="26" spans="1:41" x14ac:dyDescent="0.2">
      <c r="A26" t="s">
        <v>88</v>
      </c>
      <c r="B26">
        <v>-0.16936194354378228</v>
      </c>
      <c r="C26">
        <v>5.2534762994775998E-6</v>
      </c>
      <c r="D26">
        <v>-5.2459019297847588E-6</v>
      </c>
      <c r="E26">
        <v>5.3504512429064597E-8</v>
      </c>
      <c r="F26">
        <v>-7.4893096130827612E-5</v>
      </c>
      <c r="G26">
        <v>-7.6489898703438822E-5</v>
      </c>
      <c r="H26">
        <v>-2.6944412766714138E-5</v>
      </c>
      <c r="I26">
        <v>1.5888448599908622E-4</v>
      </c>
      <c r="J26">
        <v>2.1726446013872833E-4</v>
      </c>
      <c r="K26">
        <v>2.2074242532454328E-4</v>
      </c>
      <c r="L26">
        <v>3.0914567664991235E-6</v>
      </c>
      <c r="M26">
        <v>1.6044709611906613E-5</v>
      </c>
      <c r="N26">
        <v>8.9544527678985138E-6</v>
      </c>
      <c r="O26">
        <v>1.6961246875567938E-6</v>
      </c>
      <c r="P26">
        <v>2.3487861934064162E-7</v>
      </c>
      <c r="Q26">
        <v>2.6211609166098939E-6</v>
      </c>
      <c r="R26">
        <v>4.0002632136896821E-6</v>
      </c>
      <c r="S26">
        <v>2.5379399672141698E-5</v>
      </c>
      <c r="T26">
        <v>5.0329725697308004E-6</v>
      </c>
      <c r="U26">
        <v>-2.9864091541253416E-5</v>
      </c>
      <c r="V26">
        <v>-2.2757776146980493E-5</v>
      </c>
      <c r="W26">
        <v>1.4959518335558574E-5</v>
      </c>
      <c r="X26">
        <v>1.1474835875126049E-3</v>
      </c>
      <c r="Y26">
        <v>1.1384674243681905E-3</v>
      </c>
      <c r="Z26">
        <v>1.1397697042161762E-3</v>
      </c>
      <c r="AA26">
        <v>1.8144279274826041E-3</v>
      </c>
      <c r="AB26">
        <v>1.1332280210354438E-3</v>
      </c>
      <c r="AC26">
        <v>1.1300525299616179E-3</v>
      </c>
      <c r="AD26">
        <v>1.1308227916388353E-3</v>
      </c>
      <c r="AE26">
        <v>1.1426074833789295E-3</v>
      </c>
      <c r="AF26">
        <v>1.1435046553021219E-3</v>
      </c>
      <c r="AG26">
        <v>1.1369669078199821E-3</v>
      </c>
      <c r="AH26">
        <v>1.1468070861799596E-3</v>
      </c>
      <c r="AI26">
        <v>-5.5831940987984121E-6</v>
      </c>
      <c r="AJ26">
        <v>-2.2579550650635903E-6</v>
      </c>
      <c r="AK26">
        <v>2.0023492761226633E-5</v>
      </c>
      <c r="AL26">
        <v>4.1084278719463578E-4</v>
      </c>
      <c r="AM26">
        <v>5.2694404692267549E-4</v>
      </c>
      <c r="AN26">
        <v>3.6168256872782465E-4</v>
      </c>
      <c r="AO26">
        <v>-1.2379771050397277E-3</v>
      </c>
    </row>
    <row r="27" spans="1:41" x14ac:dyDescent="0.2">
      <c r="A27" t="s">
        <v>89</v>
      </c>
      <c r="B27">
        <v>-0.16020608076162859</v>
      </c>
      <c r="C27">
        <v>1.3332782705768268E-5</v>
      </c>
      <c r="D27">
        <v>-7.4893907536312704E-6</v>
      </c>
      <c r="E27">
        <v>6.5179825522656498E-8</v>
      </c>
      <c r="F27">
        <v>-9.3098104250828248E-5</v>
      </c>
      <c r="G27">
        <v>-1.0339935843817726E-4</v>
      </c>
      <c r="H27">
        <v>-6.8576755440286595E-5</v>
      </c>
      <c r="I27">
        <v>1.0103415837004956E-4</v>
      </c>
      <c r="J27">
        <v>2.2197580072683392E-4</v>
      </c>
      <c r="K27">
        <v>2.3373872330936275E-4</v>
      </c>
      <c r="L27">
        <v>4.6540803508312537E-6</v>
      </c>
      <c r="M27">
        <v>2.5060980907051203E-5</v>
      </c>
      <c r="N27">
        <v>-1.0339314133404128E-5</v>
      </c>
      <c r="O27">
        <v>1.1919746397203835E-6</v>
      </c>
      <c r="P27">
        <v>4.8278200368771611E-8</v>
      </c>
      <c r="Q27">
        <v>2.7056622169269754E-6</v>
      </c>
      <c r="R27">
        <v>4.1242177368102914E-6</v>
      </c>
      <c r="S27">
        <v>2.5110318518800916E-5</v>
      </c>
      <c r="T27">
        <v>5.9079807172247859E-6</v>
      </c>
      <c r="U27">
        <v>2.4005810665534387E-6</v>
      </c>
      <c r="V27">
        <v>-3.3818519236947242E-5</v>
      </c>
      <c r="W27">
        <v>1.2256987475766466E-5</v>
      </c>
      <c r="X27">
        <v>1.1382807260700068E-3</v>
      </c>
      <c r="Y27">
        <v>1.1317671210041736E-3</v>
      </c>
      <c r="Z27">
        <v>1.1287847856619564E-3</v>
      </c>
      <c r="AA27">
        <v>1.1332280210354438E-3</v>
      </c>
      <c r="AB27">
        <v>1.8562439927963001E-3</v>
      </c>
      <c r="AC27">
        <v>1.1197223812884948E-3</v>
      </c>
      <c r="AD27">
        <v>1.1221459519146081E-3</v>
      </c>
      <c r="AE27">
        <v>1.1342649076551644E-3</v>
      </c>
      <c r="AF27">
        <v>1.1346955302868481E-3</v>
      </c>
      <c r="AG27">
        <v>1.1302726551107416E-3</v>
      </c>
      <c r="AH27">
        <v>1.135754172516162E-3</v>
      </c>
      <c r="AI27">
        <v>-4.8278324395287394E-6</v>
      </c>
      <c r="AJ27">
        <v>3.2660989171192116E-6</v>
      </c>
      <c r="AK27">
        <v>4.5509279659351613E-5</v>
      </c>
      <c r="AL27">
        <v>3.6953318228161603E-4</v>
      </c>
      <c r="AM27">
        <v>4.9692582610413557E-4</v>
      </c>
      <c r="AN27">
        <v>3.3098909990442887E-4</v>
      </c>
      <c r="AO27">
        <v>-1.1062673955850419E-3</v>
      </c>
    </row>
    <row r="28" spans="1:41" x14ac:dyDescent="0.2">
      <c r="A28" t="s">
        <v>90</v>
      </c>
      <c r="B28">
        <v>-0.14911585485529091</v>
      </c>
      <c r="C28">
        <v>1.1874643500094426E-5</v>
      </c>
      <c r="D28">
        <v>-5.1092866710789866E-6</v>
      </c>
      <c r="E28">
        <v>4.6359130243255442E-8</v>
      </c>
      <c r="F28">
        <v>-7.7707326132574282E-5</v>
      </c>
      <c r="G28">
        <v>-9.1359499856989625E-5</v>
      </c>
      <c r="H28">
        <v>-3.4479355623712789E-5</v>
      </c>
      <c r="I28">
        <v>9.3352120517173169E-5</v>
      </c>
      <c r="J28">
        <v>1.7798649508129691E-4</v>
      </c>
      <c r="K28">
        <v>2.0176648379958365E-4</v>
      </c>
      <c r="L28">
        <v>-3.4379119259687701E-5</v>
      </c>
      <c r="M28">
        <v>1.4099501174500285E-5</v>
      </c>
      <c r="N28">
        <v>3.268101871017491E-6</v>
      </c>
      <c r="O28">
        <v>4.4828910533661786E-7</v>
      </c>
      <c r="P28">
        <v>1.6910221310039805E-7</v>
      </c>
      <c r="Q28">
        <v>-2.605222214710218E-7</v>
      </c>
      <c r="R28">
        <v>3.8285429501234542E-6</v>
      </c>
      <c r="S28">
        <v>2.1599967874859544E-5</v>
      </c>
      <c r="T28">
        <v>5.1129125953702727E-6</v>
      </c>
      <c r="U28">
        <v>4.2278366294635009E-5</v>
      </c>
      <c r="V28">
        <v>-3.2894448644725673E-5</v>
      </c>
      <c r="W28">
        <v>1.1370198167314692E-5</v>
      </c>
      <c r="X28">
        <v>1.1330792745698126E-3</v>
      </c>
      <c r="Y28">
        <v>1.1263613681825988E-3</v>
      </c>
      <c r="Z28">
        <v>1.1250334927132334E-3</v>
      </c>
      <c r="AA28">
        <v>1.1300525299616179E-3</v>
      </c>
      <c r="AB28">
        <v>1.1197223812884948E-3</v>
      </c>
      <c r="AC28">
        <v>1.727070426415539E-3</v>
      </c>
      <c r="AD28">
        <v>1.1187636104268031E-3</v>
      </c>
      <c r="AE28">
        <v>1.1300689308642131E-3</v>
      </c>
      <c r="AF28">
        <v>1.1296143790065485E-3</v>
      </c>
      <c r="AG28">
        <v>1.1247888060060478E-3</v>
      </c>
      <c r="AH28">
        <v>1.1324808448483082E-3</v>
      </c>
      <c r="AI28">
        <v>-3.2991799210356406E-6</v>
      </c>
      <c r="AJ28">
        <v>-6.614756112647714E-6</v>
      </c>
      <c r="AK28">
        <v>2.1899293781760395E-5</v>
      </c>
      <c r="AL28">
        <v>3.9641336640581251E-4</v>
      </c>
      <c r="AM28">
        <v>4.7870367423776574E-4</v>
      </c>
      <c r="AN28">
        <v>3.2291084179376364E-4</v>
      </c>
      <c r="AO28">
        <v>-1.1319240135635531E-3</v>
      </c>
    </row>
    <row r="29" spans="1:41" x14ac:dyDescent="0.2">
      <c r="A29" t="s">
        <v>91</v>
      </c>
      <c r="B29">
        <v>-0.10893080857937303</v>
      </c>
      <c r="C29">
        <v>1.6142468899964493E-5</v>
      </c>
      <c r="D29">
        <v>-3.1659571448556772E-6</v>
      </c>
      <c r="E29">
        <v>2.7457886918834729E-8</v>
      </c>
      <c r="F29">
        <v>-6.578150689654904E-5</v>
      </c>
      <c r="G29">
        <v>-9.3680713415462188E-5</v>
      </c>
      <c r="H29">
        <v>-4.1195155869273165E-5</v>
      </c>
      <c r="I29">
        <v>1.0738083317742703E-4</v>
      </c>
      <c r="J29">
        <v>1.8726726421333054E-4</v>
      </c>
      <c r="K29">
        <v>2.0478696991327794E-4</v>
      </c>
      <c r="L29">
        <v>1.0339472736398472E-5</v>
      </c>
      <c r="M29">
        <v>1.3223559615851331E-5</v>
      </c>
      <c r="N29">
        <v>1.2459299904720182E-5</v>
      </c>
      <c r="O29">
        <v>1.0552367431550812E-6</v>
      </c>
      <c r="P29">
        <v>7.9559954278788451E-8</v>
      </c>
      <c r="Q29">
        <v>2.2235757076069299E-7</v>
      </c>
      <c r="R29">
        <v>1.9299184412870309E-6</v>
      </c>
      <c r="S29">
        <v>2.285369778478848E-5</v>
      </c>
      <c r="T29">
        <v>4.2017440842042376E-6</v>
      </c>
      <c r="U29">
        <v>5.0246663796556235E-7</v>
      </c>
      <c r="V29">
        <v>-3.6691157682056043E-5</v>
      </c>
      <c r="W29">
        <v>2.7415371564933384E-5</v>
      </c>
      <c r="X29">
        <v>1.1353302464221647E-3</v>
      </c>
      <c r="Y29">
        <v>1.1288088774509353E-3</v>
      </c>
      <c r="Z29">
        <v>1.1257472987361522E-3</v>
      </c>
      <c r="AA29">
        <v>1.1308227916388353E-3</v>
      </c>
      <c r="AB29">
        <v>1.1221459519146081E-3</v>
      </c>
      <c r="AC29">
        <v>1.1187636104268031E-3</v>
      </c>
      <c r="AD29">
        <v>1.5970971760975393E-3</v>
      </c>
      <c r="AE29">
        <v>1.1336176289052332E-3</v>
      </c>
      <c r="AF29">
        <v>1.130935009095977E-3</v>
      </c>
      <c r="AG29">
        <v>1.1270314171608039E-3</v>
      </c>
      <c r="AH29">
        <v>1.1322210816501891E-3</v>
      </c>
      <c r="AI29">
        <v>-1.6886888414176238E-6</v>
      </c>
      <c r="AJ29">
        <v>-2.2592837029467483E-6</v>
      </c>
      <c r="AK29">
        <v>2.5620058349100605E-5</v>
      </c>
      <c r="AL29">
        <v>3.6713959326615039E-4</v>
      </c>
      <c r="AM29">
        <v>4.8115201399079387E-4</v>
      </c>
      <c r="AN29">
        <v>2.9673388874708768E-4</v>
      </c>
      <c r="AO29">
        <v>-1.2376483917912284E-3</v>
      </c>
    </row>
    <row r="30" spans="1:41" x14ac:dyDescent="0.2">
      <c r="A30" t="s">
        <v>92</v>
      </c>
      <c r="B30">
        <v>-0.14854631438602228</v>
      </c>
      <c r="C30">
        <v>2.2728646105069122E-5</v>
      </c>
      <c r="D30">
        <v>-4.9647682654568691E-6</v>
      </c>
      <c r="E30">
        <v>4.2914148244056361E-8</v>
      </c>
      <c r="F30">
        <v>-6.1918233521149682E-5</v>
      </c>
      <c r="G30">
        <v>-8.6507548285643873E-5</v>
      </c>
      <c r="H30">
        <v>-3.7417058152144217E-5</v>
      </c>
      <c r="I30">
        <v>2.2680071647108134E-4</v>
      </c>
      <c r="J30">
        <v>3.1430190166175254E-4</v>
      </c>
      <c r="K30">
        <v>3.2140993383447322E-4</v>
      </c>
      <c r="L30">
        <v>-5.0954988124157882E-6</v>
      </c>
      <c r="M30">
        <v>2.1323494472802939E-5</v>
      </c>
      <c r="N30">
        <v>3.2324593594795629E-5</v>
      </c>
      <c r="O30">
        <v>1.1588138208037677E-6</v>
      </c>
      <c r="P30">
        <v>-1.1531420086612532E-7</v>
      </c>
      <c r="Q30">
        <v>1.9952754419359006E-6</v>
      </c>
      <c r="R30">
        <v>1.7934340091596027E-6</v>
      </c>
      <c r="S30">
        <v>3.8522938112803403E-5</v>
      </c>
      <c r="T30">
        <v>1.9993068742495416E-6</v>
      </c>
      <c r="U30">
        <v>-1.5976618135946953E-5</v>
      </c>
      <c r="V30">
        <v>-3.2854031895269867E-5</v>
      </c>
      <c r="W30">
        <v>2.2847682324736845E-5</v>
      </c>
      <c r="X30">
        <v>1.1491409810139562E-3</v>
      </c>
      <c r="Y30">
        <v>1.1411735626044033E-3</v>
      </c>
      <c r="Z30">
        <v>1.1382163653080777E-3</v>
      </c>
      <c r="AA30">
        <v>1.1426074833789295E-3</v>
      </c>
      <c r="AB30">
        <v>1.1342649076551644E-3</v>
      </c>
      <c r="AC30">
        <v>1.1300689308642131E-3</v>
      </c>
      <c r="AD30">
        <v>1.1336176289052332E-3</v>
      </c>
      <c r="AE30">
        <v>1.7062808417355291E-3</v>
      </c>
      <c r="AF30">
        <v>1.1468753358039236E-3</v>
      </c>
      <c r="AG30">
        <v>1.1401448542370934E-3</v>
      </c>
      <c r="AH30">
        <v>1.1454033344151019E-3</v>
      </c>
      <c r="AI30">
        <v>-3.3981717776048191E-6</v>
      </c>
      <c r="AJ30">
        <v>-3.7204704097789856E-6</v>
      </c>
      <c r="AK30">
        <v>2.0832196209959717E-5</v>
      </c>
      <c r="AL30">
        <v>4.2253550060982863E-4</v>
      </c>
      <c r="AM30">
        <v>5.4361841614847294E-4</v>
      </c>
      <c r="AN30">
        <v>3.4155346686437775E-4</v>
      </c>
      <c r="AO30">
        <v>-1.2954496018145721E-3</v>
      </c>
    </row>
    <row r="31" spans="1:41" x14ac:dyDescent="0.2">
      <c r="A31" t="s">
        <v>93</v>
      </c>
      <c r="B31">
        <v>-8.1263474315263859E-2</v>
      </c>
      <c r="C31">
        <v>1.2915045659231313E-5</v>
      </c>
      <c r="D31">
        <v>-6.0373100581727368E-6</v>
      </c>
      <c r="E31">
        <v>5.648997246181343E-8</v>
      </c>
      <c r="F31">
        <v>-1.0445969460922289E-4</v>
      </c>
      <c r="G31">
        <v>-1.1363696075913487E-4</v>
      </c>
      <c r="H31">
        <v>-5.1274400063333614E-5</v>
      </c>
      <c r="I31">
        <v>1.9196768909450143E-4</v>
      </c>
      <c r="J31">
        <v>3.3736866050065525E-4</v>
      </c>
      <c r="K31">
        <v>2.6629739082895641E-4</v>
      </c>
      <c r="L31">
        <v>-5.7782997464882213E-6</v>
      </c>
      <c r="M31">
        <v>2.3545036581635161E-5</v>
      </c>
      <c r="N31">
        <v>3.5356182515545922E-5</v>
      </c>
      <c r="O31">
        <v>1.5080568001169371E-6</v>
      </c>
      <c r="P31">
        <v>5.6167857080769169E-7</v>
      </c>
      <c r="Q31">
        <v>1.6453882928232472E-6</v>
      </c>
      <c r="R31">
        <v>5.1088331275691533E-6</v>
      </c>
      <c r="S31">
        <v>3.3840850845642248E-5</v>
      </c>
      <c r="T31">
        <v>1.3266782062245318E-6</v>
      </c>
      <c r="U31">
        <v>-1.3400756878829793E-5</v>
      </c>
      <c r="V31">
        <v>-3.4530244127135346E-5</v>
      </c>
      <c r="W31">
        <v>1.0464264032593058E-5</v>
      </c>
      <c r="X31">
        <v>1.1516990394320019E-3</v>
      </c>
      <c r="Y31">
        <v>1.1437291788766741E-3</v>
      </c>
      <c r="Z31">
        <v>1.1397015606893035E-3</v>
      </c>
      <c r="AA31">
        <v>1.1435046553021219E-3</v>
      </c>
      <c r="AB31">
        <v>1.1346955302868481E-3</v>
      </c>
      <c r="AC31">
        <v>1.1296143790065485E-3</v>
      </c>
      <c r="AD31">
        <v>1.130935009095977E-3</v>
      </c>
      <c r="AE31">
        <v>1.1468753358039236E-3</v>
      </c>
      <c r="AF31">
        <v>2.2702565606735176E-3</v>
      </c>
      <c r="AG31">
        <v>1.1394727858595635E-3</v>
      </c>
      <c r="AH31">
        <v>1.1491473315573279E-3</v>
      </c>
      <c r="AI31">
        <v>4.4304109285507999E-7</v>
      </c>
      <c r="AJ31">
        <v>-6.7758705158362431E-6</v>
      </c>
      <c r="AK31">
        <v>-4.0623744685178154E-6</v>
      </c>
      <c r="AL31">
        <v>3.7810053284441798E-4</v>
      </c>
      <c r="AM31">
        <v>5.4260129251521938E-4</v>
      </c>
      <c r="AN31">
        <v>3.7882962497152518E-4</v>
      </c>
      <c r="AO31">
        <v>-1.3378075781570842E-3</v>
      </c>
    </row>
    <row r="32" spans="1:41" x14ac:dyDescent="0.2">
      <c r="A32" t="s">
        <v>94</v>
      </c>
      <c r="B32">
        <v>2.6831220403663539E-3</v>
      </c>
      <c r="C32">
        <v>7.571152857581328E-6</v>
      </c>
      <c r="D32">
        <v>-6.8125984838345683E-6</v>
      </c>
      <c r="E32">
        <v>6.1104704218291033E-8</v>
      </c>
      <c r="F32">
        <v>-5.645028630184637E-5</v>
      </c>
      <c r="G32">
        <v>-9.0186502934944471E-5</v>
      </c>
      <c r="H32">
        <v>-5.6218683711873815E-5</v>
      </c>
      <c r="I32">
        <v>6.3460905059212896E-5</v>
      </c>
      <c r="J32">
        <v>1.7265417599722586E-4</v>
      </c>
      <c r="K32">
        <v>1.7954093011214502E-4</v>
      </c>
      <c r="L32">
        <v>-1.7236252284112935E-5</v>
      </c>
      <c r="M32">
        <v>1.7991397734392158E-6</v>
      </c>
      <c r="N32">
        <v>-2.5647707346161414E-5</v>
      </c>
      <c r="O32">
        <v>1.0847780282102358E-6</v>
      </c>
      <c r="P32">
        <v>-1.3816251803550549E-7</v>
      </c>
      <c r="Q32">
        <v>1.8468786782031236E-6</v>
      </c>
      <c r="R32">
        <v>3.7157442196078464E-6</v>
      </c>
      <c r="S32">
        <v>2.1868524564750769E-5</v>
      </c>
      <c r="T32">
        <v>4.1685128356888369E-6</v>
      </c>
      <c r="U32">
        <v>1.7630805351126315E-5</v>
      </c>
      <c r="V32">
        <v>-3.6502673171915479E-5</v>
      </c>
      <c r="W32">
        <v>9.1364941528406104E-6</v>
      </c>
      <c r="X32">
        <v>1.1433089043846024E-3</v>
      </c>
      <c r="Y32">
        <v>1.1362500912167786E-3</v>
      </c>
      <c r="Z32">
        <v>1.1336446885798399E-3</v>
      </c>
      <c r="AA32">
        <v>1.1369669078199821E-3</v>
      </c>
      <c r="AB32">
        <v>1.1302726551107416E-3</v>
      </c>
      <c r="AC32">
        <v>1.1247888060060478E-3</v>
      </c>
      <c r="AD32">
        <v>1.1270314171608039E-3</v>
      </c>
      <c r="AE32">
        <v>1.1401448542370934E-3</v>
      </c>
      <c r="AF32">
        <v>1.1394727858595635E-3</v>
      </c>
      <c r="AG32">
        <v>1.8473262500759869E-3</v>
      </c>
      <c r="AH32">
        <v>1.146324000148826E-3</v>
      </c>
      <c r="AI32">
        <v>-2.1930190057382513E-6</v>
      </c>
      <c r="AJ32">
        <v>-5.7554829926757971E-6</v>
      </c>
      <c r="AK32">
        <v>4.5159653514609255E-6</v>
      </c>
      <c r="AL32">
        <v>4.2654738703460705E-4</v>
      </c>
      <c r="AM32">
        <v>5.5095564199612141E-4</v>
      </c>
      <c r="AN32">
        <v>3.7110085179699998E-4</v>
      </c>
      <c r="AO32">
        <v>-1.1188034045817108E-3</v>
      </c>
    </row>
    <row r="33" spans="1:41" x14ac:dyDescent="0.2">
      <c r="A33" t="s">
        <v>95</v>
      </c>
      <c r="B33">
        <v>-1.9581736500488042E-2</v>
      </c>
      <c r="C33">
        <v>8.6239034804468984E-6</v>
      </c>
      <c r="D33">
        <v>-9.7534714811569451E-6</v>
      </c>
      <c r="E33">
        <v>8.7532918381763878E-8</v>
      </c>
      <c r="F33">
        <v>-6.4224457504780466E-5</v>
      </c>
      <c r="G33">
        <v>-6.7365203137218638E-5</v>
      </c>
      <c r="H33">
        <v>-3.7064297590701928E-5</v>
      </c>
      <c r="I33">
        <v>1.8134928811831819E-4</v>
      </c>
      <c r="J33">
        <v>2.2489409572253212E-4</v>
      </c>
      <c r="K33">
        <v>2.8241408743332266E-4</v>
      </c>
      <c r="L33">
        <v>-2.1328672572441516E-5</v>
      </c>
      <c r="M33">
        <v>-2.6324054721328367E-5</v>
      </c>
      <c r="N33">
        <v>-1.3492362165221355E-6</v>
      </c>
      <c r="O33">
        <v>2.0404636600742773E-6</v>
      </c>
      <c r="P33">
        <v>-5.9766201944890521E-7</v>
      </c>
      <c r="Q33">
        <v>7.0368485019082529E-6</v>
      </c>
      <c r="R33">
        <v>7.9785047095782016E-6</v>
      </c>
      <c r="S33">
        <v>3.1396407090413837E-5</v>
      </c>
      <c r="T33">
        <v>4.4802358807926793E-6</v>
      </c>
      <c r="U33">
        <v>-9.9054433085063801E-6</v>
      </c>
      <c r="V33">
        <v>-4.5853994645755187E-5</v>
      </c>
      <c r="W33">
        <v>4.9058344433261308E-6</v>
      </c>
      <c r="X33">
        <v>1.156088777470512E-3</v>
      </c>
      <c r="Y33">
        <v>1.1430395724950368E-3</v>
      </c>
      <c r="Z33">
        <v>1.1415876819038287E-3</v>
      </c>
      <c r="AA33">
        <v>1.1468070861799596E-3</v>
      </c>
      <c r="AB33">
        <v>1.135754172516162E-3</v>
      </c>
      <c r="AC33">
        <v>1.1324808448483082E-3</v>
      </c>
      <c r="AD33">
        <v>1.1322210816501891E-3</v>
      </c>
      <c r="AE33">
        <v>1.1454033344151019E-3</v>
      </c>
      <c r="AF33">
        <v>1.1491473315573279E-3</v>
      </c>
      <c r="AG33">
        <v>1.146324000148826E-3</v>
      </c>
      <c r="AH33">
        <v>2.7542417048079994E-3</v>
      </c>
      <c r="AI33">
        <v>-5.4745436076398141E-6</v>
      </c>
      <c r="AJ33">
        <v>-1.4132952194216846E-5</v>
      </c>
      <c r="AK33">
        <v>-1.2625564627306602E-6</v>
      </c>
      <c r="AL33">
        <v>4.62702464487366E-4</v>
      </c>
      <c r="AM33">
        <v>6.116428471034562E-4</v>
      </c>
      <c r="AN33">
        <v>3.4795162609042575E-4</v>
      </c>
      <c r="AO33">
        <v>-1.1505489000919675E-3</v>
      </c>
    </row>
    <row r="34" spans="1:41" x14ac:dyDescent="0.2">
      <c r="A34" t="s">
        <v>44</v>
      </c>
      <c r="B34">
        <v>1.6977879756805436E-2</v>
      </c>
      <c r="C34">
        <v>1.0854130183042231E-7</v>
      </c>
      <c r="D34">
        <v>4.8448156672799985E-7</v>
      </c>
      <c r="E34">
        <v>-5.5007975728598922E-9</v>
      </c>
      <c r="F34">
        <v>-1.4854888261760062E-6</v>
      </c>
      <c r="G34">
        <v>-5.298970575663719E-6</v>
      </c>
      <c r="H34">
        <v>-6.0502644713976471E-6</v>
      </c>
      <c r="I34">
        <v>-5.0321260027094347E-6</v>
      </c>
      <c r="J34">
        <v>-4.8215257153526661E-7</v>
      </c>
      <c r="K34">
        <v>-6.0177306636770029E-6</v>
      </c>
      <c r="L34">
        <v>2.1577074690029227E-6</v>
      </c>
      <c r="M34">
        <v>1.1369720177345553E-6</v>
      </c>
      <c r="N34">
        <v>1.2914631081411079E-6</v>
      </c>
      <c r="O34">
        <v>-9.2098502222374316E-8</v>
      </c>
      <c r="P34">
        <v>1.0739338744573655E-7</v>
      </c>
      <c r="Q34">
        <v>-5.1425011715164568E-7</v>
      </c>
      <c r="R34">
        <v>-4.1274933972214283E-7</v>
      </c>
      <c r="S34">
        <v>-6.3526554197946053E-7</v>
      </c>
      <c r="T34">
        <v>1.002920551799693E-8</v>
      </c>
      <c r="U34">
        <v>-2.1012062283929907E-7</v>
      </c>
      <c r="V34">
        <v>-2.6117751414786622E-6</v>
      </c>
      <c r="W34">
        <v>6.7690004293506018E-7</v>
      </c>
      <c r="X34">
        <v>-2.406748343850731E-6</v>
      </c>
      <c r="Y34">
        <v>-2.7841855979974936E-6</v>
      </c>
      <c r="Z34">
        <v>-5.6663899860740836E-6</v>
      </c>
      <c r="AA34">
        <v>-5.5831940987984121E-6</v>
      </c>
      <c r="AB34">
        <v>-4.8278324395287394E-6</v>
      </c>
      <c r="AC34">
        <v>-3.2991799210356406E-6</v>
      </c>
      <c r="AD34">
        <v>-1.6886888414176238E-6</v>
      </c>
      <c r="AE34">
        <v>-3.3981717776048191E-6</v>
      </c>
      <c r="AF34">
        <v>4.4304109285507999E-7</v>
      </c>
      <c r="AG34">
        <v>-2.1930190057382513E-6</v>
      </c>
      <c r="AH34">
        <v>-5.4745436076398141E-6</v>
      </c>
      <c r="AI34">
        <v>4.8750922355727053E-6</v>
      </c>
      <c r="AJ34">
        <v>-1.5279021856250673E-5</v>
      </c>
      <c r="AK34">
        <v>-1.8114596911611498E-5</v>
      </c>
      <c r="AL34">
        <v>-9.9561568826907144E-7</v>
      </c>
      <c r="AM34">
        <v>-4.7607206478333475E-6</v>
      </c>
      <c r="AN34">
        <v>1.9225684972116994E-6</v>
      </c>
      <c r="AO34">
        <v>-7.2298077309185141E-5</v>
      </c>
    </row>
    <row r="35" spans="1:41" x14ac:dyDescent="0.2">
      <c r="A35" t="s">
        <v>45</v>
      </c>
      <c r="B35">
        <v>-8.3125609798676267E-2</v>
      </c>
      <c r="C35">
        <v>4.1534306063922035E-6</v>
      </c>
      <c r="D35">
        <v>-9.5270188656273953E-8</v>
      </c>
      <c r="E35">
        <v>-1.2744289209021938E-9</v>
      </c>
      <c r="F35">
        <v>6.7055717894686623E-5</v>
      </c>
      <c r="G35">
        <v>7.4335602091113754E-5</v>
      </c>
      <c r="H35">
        <v>6.1557070383254624E-5</v>
      </c>
      <c r="I35">
        <v>3.3201256883086264E-5</v>
      </c>
      <c r="J35">
        <v>1.0343884957762675E-5</v>
      </c>
      <c r="K35">
        <v>3.5348334600162289E-5</v>
      </c>
      <c r="L35">
        <v>-9.3919995001844223E-6</v>
      </c>
      <c r="M35">
        <v>2.5309673873795169E-6</v>
      </c>
      <c r="N35">
        <v>-7.7214980168151135E-6</v>
      </c>
      <c r="O35">
        <v>4.1819625016412897E-7</v>
      </c>
      <c r="P35">
        <v>6.8130810537432314E-7</v>
      </c>
      <c r="Q35">
        <v>9.1814994879830936E-7</v>
      </c>
      <c r="R35">
        <v>-3.0026586103662999E-6</v>
      </c>
      <c r="S35">
        <v>3.2842986229052304E-6</v>
      </c>
      <c r="T35">
        <v>8.1024936755244878E-7</v>
      </c>
      <c r="U35">
        <v>5.9819515368629409E-5</v>
      </c>
      <c r="V35">
        <v>-3.2347853464789361E-6</v>
      </c>
      <c r="W35">
        <v>1.1983035947653388E-5</v>
      </c>
      <c r="X35">
        <v>7.4472301365814886E-6</v>
      </c>
      <c r="Y35">
        <v>5.7781813867970191E-6</v>
      </c>
      <c r="Z35">
        <v>2.3340163107967145E-5</v>
      </c>
      <c r="AA35">
        <v>-2.2579550650635903E-6</v>
      </c>
      <c r="AB35">
        <v>3.2660989171192116E-6</v>
      </c>
      <c r="AC35">
        <v>-6.614756112647714E-6</v>
      </c>
      <c r="AD35">
        <v>-2.2592837029467483E-6</v>
      </c>
      <c r="AE35">
        <v>-3.7204704097789856E-6</v>
      </c>
      <c r="AF35">
        <v>-6.7758705158362431E-6</v>
      </c>
      <c r="AG35">
        <v>-5.7554829926757971E-6</v>
      </c>
      <c r="AH35">
        <v>-1.4132952194216846E-5</v>
      </c>
      <c r="AI35">
        <v>-1.5279021856250673E-5</v>
      </c>
      <c r="AJ35">
        <v>5.8976015378155362E-4</v>
      </c>
      <c r="AK35">
        <v>1.2299342540736226E-4</v>
      </c>
      <c r="AL35">
        <v>-2.6994380620146491E-5</v>
      </c>
      <c r="AM35">
        <v>-2.2924659389076258E-5</v>
      </c>
      <c r="AN35">
        <v>-3.008295008097018E-5</v>
      </c>
      <c r="AO35">
        <v>7.6580544664100485E-5</v>
      </c>
    </row>
    <row r="36" spans="1:41" x14ac:dyDescent="0.2">
      <c r="A36" t="s">
        <v>46</v>
      </c>
      <c r="B36">
        <v>-7.4900610522602676E-2</v>
      </c>
      <c r="C36">
        <v>4.9309225921810595E-6</v>
      </c>
      <c r="D36">
        <v>-1.7455649897564138E-6</v>
      </c>
      <c r="E36">
        <v>9.4669184645368317E-9</v>
      </c>
      <c r="F36">
        <v>9.6333179018374005E-5</v>
      </c>
      <c r="G36">
        <v>1.0104413822372912E-4</v>
      </c>
      <c r="H36">
        <v>9.8870087648867799E-5</v>
      </c>
      <c r="I36">
        <v>2.0761590524592984E-5</v>
      </c>
      <c r="J36">
        <v>-3.1022375052324608E-5</v>
      </c>
      <c r="K36">
        <v>6.1836451938075514E-6</v>
      </c>
      <c r="L36">
        <v>-2.7767286963715194E-5</v>
      </c>
      <c r="M36">
        <v>-1.4362917753664212E-5</v>
      </c>
      <c r="N36">
        <v>-3.590692086862554E-5</v>
      </c>
      <c r="O36">
        <v>2.4097581512832966E-7</v>
      </c>
      <c r="P36">
        <v>-4.1046482608823862E-7</v>
      </c>
      <c r="Q36">
        <v>-1.054177749221697E-6</v>
      </c>
      <c r="R36">
        <v>-9.4064923805574666E-7</v>
      </c>
      <c r="S36">
        <v>3.2311034194818238E-6</v>
      </c>
      <c r="T36">
        <v>-1.8790865562880466E-6</v>
      </c>
      <c r="U36">
        <v>8.8653273735612471E-6</v>
      </c>
      <c r="V36">
        <v>1.7587659597234653E-5</v>
      </c>
      <c r="W36">
        <v>-7.4965991660001983E-6</v>
      </c>
      <c r="X36">
        <v>4.1534465893145866E-5</v>
      </c>
      <c r="Y36">
        <v>3.0331697781822671E-5</v>
      </c>
      <c r="Z36">
        <v>3.2388485034240801E-5</v>
      </c>
      <c r="AA36">
        <v>2.0023492761226633E-5</v>
      </c>
      <c r="AB36">
        <v>4.5509279659351613E-5</v>
      </c>
      <c r="AC36">
        <v>2.1899293781760395E-5</v>
      </c>
      <c r="AD36">
        <v>2.5620058349100605E-5</v>
      </c>
      <c r="AE36">
        <v>2.0832196209959717E-5</v>
      </c>
      <c r="AF36">
        <v>-4.0623744685178154E-6</v>
      </c>
      <c r="AG36">
        <v>4.5159653514609255E-6</v>
      </c>
      <c r="AH36">
        <v>-1.2625564627306602E-6</v>
      </c>
      <c r="AI36">
        <v>-1.8114596911611498E-5</v>
      </c>
      <c r="AJ36">
        <v>1.2299342540736226E-4</v>
      </c>
      <c r="AK36">
        <v>7.2323327337230005E-4</v>
      </c>
      <c r="AL36">
        <v>-9.7279618260753928E-6</v>
      </c>
      <c r="AM36">
        <v>-8.4273207713266886E-6</v>
      </c>
      <c r="AN36">
        <v>-3.55160828686095E-5</v>
      </c>
      <c r="AO36">
        <v>2.3022955724444442E-4</v>
      </c>
    </row>
    <row r="37" spans="1:41" x14ac:dyDescent="0.2">
      <c r="A37" t="s">
        <v>98</v>
      </c>
      <c r="B37">
        <v>0.4242174858696407</v>
      </c>
      <c r="C37">
        <v>2.432796430661458E-6</v>
      </c>
      <c r="D37">
        <v>-2.0428123118528652E-6</v>
      </c>
      <c r="E37">
        <v>4.1150689995727761E-8</v>
      </c>
      <c r="F37">
        <v>4.011864708557307E-6</v>
      </c>
      <c r="G37">
        <v>-3.8695228561213407E-7</v>
      </c>
      <c r="H37">
        <v>-5.068691241241069E-5</v>
      </c>
      <c r="I37">
        <v>-2.3263993680297697E-5</v>
      </c>
      <c r="J37">
        <v>-4.0498897956242272E-5</v>
      </c>
      <c r="K37">
        <v>1.8802232961091445E-5</v>
      </c>
      <c r="L37">
        <v>-3.8154644868531337E-5</v>
      </c>
      <c r="M37">
        <v>-7.1004307677270543E-6</v>
      </c>
      <c r="N37">
        <v>2.1437156211287847E-5</v>
      </c>
      <c r="O37">
        <v>2.6824416518418469E-6</v>
      </c>
      <c r="P37">
        <v>3.0949798945521115E-7</v>
      </c>
      <c r="Q37">
        <v>4.360097564354723E-6</v>
      </c>
      <c r="R37">
        <v>4.3602632495354624E-6</v>
      </c>
      <c r="S37">
        <v>1.5812283678210293E-6</v>
      </c>
      <c r="T37">
        <v>4.1565977843359262E-6</v>
      </c>
      <c r="U37">
        <v>1.494733494110086E-5</v>
      </c>
      <c r="V37">
        <v>-3.4887030744449785E-5</v>
      </c>
      <c r="W37">
        <v>-4.7423909737680394E-6</v>
      </c>
      <c r="X37">
        <v>4.3167713099429288E-4</v>
      </c>
      <c r="Y37">
        <v>4.1651939614859387E-4</v>
      </c>
      <c r="Z37">
        <v>3.8107066925800785E-4</v>
      </c>
      <c r="AA37">
        <v>4.1084278719463578E-4</v>
      </c>
      <c r="AB37">
        <v>3.6953318228161603E-4</v>
      </c>
      <c r="AC37">
        <v>3.9641336640581251E-4</v>
      </c>
      <c r="AD37">
        <v>3.6713959326615039E-4</v>
      </c>
      <c r="AE37">
        <v>4.2253550060982863E-4</v>
      </c>
      <c r="AF37">
        <v>3.7810053284441798E-4</v>
      </c>
      <c r="AG37">
        <v>4.2654738703460705E-4</v>
      </c>
      <c r="AH37">
        <v>4.62702464487366E-4</v>
      </c>
      <c r="AI37">
        <v>-9.9561568826907144E-7</v>
      </c>
      <c r="AJ37">
        <v>-2.6994380620146491E-5</v>
      </c>
      <c r="AK37">
        <v>-9.7279618260753928E-6</v>
      </c>
      <c r="AL37">
        <v>2.9756311834703113E-3</v>
      </c>
      <c r="AM37">
        <v>2.8317385280256599E-4</v>
      </c>
      <c r="AN37">
        <v>2.2079178556486142E-4</v>
      </c>
      <c r="AO37">
        <v>-6.5668275529838299E-4</v>
      </c>
    </row>
    <row r="38" spans="1:41" x14ac:dyDescent="0.2">
      <c r="A38" t="s">
        <v>99</v>
      </c>
      <c r="B38">
        <v>0.15675956524938389</v>
      </c>
      <c r="C38">
        <v>2.477507684149239E-5</v>
      </c>
      <c r="D38">
        <v>-1.3631910234045505E-5</v>
      </c>
      <c r="E38">
        <v>1.0730884387497785E-7</v>
      </c>
      <c r="F38">
        <v>1.6953964599590501E-4</v>
      </c>
      <c r="G38">
        <v>1.8666665593357768E-4</v>
      </c>
      <c r="H38">
        <v>1.2098200736437078E-4</v>
      </c>
      <c r="I38">
        <v>-1.908365514616088E-4</v>
      </c>
      <c r="J38">
        <v>4.6673867946401063E-5</v>
      </c>
      <c r="K38">
        <v>1.24386554567338E-4</v>
      </c>
      <c r="L38">
        <v>1.6349337700935143E-5</v>
      </c>
      <c r="M38">
        <v>-4.9803772803059675E-5</v>
      </c>
      <c r="N38">
        <v>-2.3346176406656351E-4</v>
      </c>
      <c r="O38">
        <v>6.5865566828911506E-7</v>
      </c>
      <c r="P38">
        <v>-1.3473379300942798E-6</v>
      </c>
      <c r="Q38">
        <v>7.5876166278275667E-6</v>
      </c>
      <c r="R38">
        <v>8.5273760411916494E-6</v>
      </c>
      <c r="S38">
        <v>6.3811692009050963E-6</v>
      </c>
      <c r="T38">
        <v>3.3731538269457658E-7</v>
      </c>
      <c r="U38">
        <v>2.0260676060123795E-4</v>
      </c>
      <c r="V38">
        <v>3.7464520572953524E-8</v>
      </c>
      <c r="W38">
        <v>-2.2093305674106029E-5</v>
      </c>
      <c r="X38">
        <v>5.6211412798343229E-4</v>
      </c>
      <c r="Y38">
        <v>5.1452808297745476E-4</v>
      </c>
      <c r="Z38">
        <v>5.361527245212179E-4</v>
      </c>
      <c r="AA38">
        <v>5.2694404692267549E-4</v>
      </c>
      <c r="AB38">
        <v>4.9692582610413557E-4</v>
      </c>
      <c r="AC38">
        <v>4.7870367423776574E-4</v>
      </c>
      <c r="AD38">
        <v>4.8115201399079387E-4</v>
      </c>
      <c r="AE38">
        <v>5.4361841614847294E-4</v>
      </c>
      <c r="AF38">
        <v>5.4260129251521938E-4</v>
      </c>
      <c r="AG38">
        <v>5.5095564199612141E-4</v>
      </c>
      <c r="AH38">
        <v>6.116428471034562E-4</v>
      </c>
      <c r="AI38">
        <v>-4.7607206478333475E-6</v>
      </c>
      <c r="AJ38">
        <v>-2.2924659389076258E-5</v>
      </c>
      <c r="AK38">
        <v>-8.4273207713266886E-6</v>
      </c>
      <c r="AL38">
        <v>2.8317385280256599E-4</v>
      </c>
      <c r="AM38">
        <v>9.2226624144372271E-3</v>
      </c>
      <c r="AN38">
        <v>2.464110804084525E-4</v>
      </c>
      <c r="AO38">
        <v>-3.4083579067467222E-4</v>
      </c>
    </row>
    <row r="39" spans="1:41" x14ac:dyDescent="0.2">
      <c r="A39" t="s">
        <v>100</v>
      </c>
      <c r="B39">
        <v>0.26976762280753463</v>
      </c>
      <c r="C39">
        <v>-6.7757699539367602E-6</v>
      </c>
      <c r="D39">
        <v>-4.1273257942768981E-7</v>
      </c>
      <c r="E39">
        <v>1.799621963693668E-8</v>
      </c>
      <c r="F39">
        <v>-3.5063769553470177E-4</v>
      </c>
      <c r="G39">
        <v>-3.5214723969334354E-4</v>
      </c>
      <c r="H39">
        <v>-3.735265673607672E-4</v>
      </c>
      <c r="I39">
        <v>-1.3093939761328681E-4</v>
      </c>
      <c r="J39">
        <v>9.3843159362572078E-5</v>
      </c>
      <c r="K39">
        <v>1.3694421669625988E-4</v>
      </c>
      <c r="L39">
        <v>-3.6571821873742727E-7</v>
      </c>
      <c r="M39">
        <v>8.0467284848784595E-6</v>
      </c>
      <c r="N39">
        <v>2.149495372744241E-5</v>
      </c>
      <c r="O39">
        <v>3.3218327472711073E-7</v>
      </c>
      <c r="P39">
        <v>-2.8911255497816797E-7</v>
      </c>
      <c r="Q39">
        <v>2.3418804342724383E-6</v>
      </c>
      <c r="R39">
        <v>-1.3519412269040332E-6</v>
      </c>
      <c r="S39">
        <v>9.1544779203937311E-6</v>
      </c>
      <c r="T39">
        <v>5.5980648424887219E-6</v>
      </c>
      <c r="U39">
        <v>-1.0687572921089033E-4</v>
      </c>
      <c r="V39">
        <v>-4.5810806777508573E-5</v>
      </c>
      <c r="W39">
        <v>1.3576098416109926E-5</v>
      </c>
      <c r="X39">
        <v>3.6870726973791697E-4</v>
      </c>
      <c r="Y39">
        <v>3.7067864703244107E-4</v>
      </c>
      <c r="Z39">
        <v>3.1653769657156582E-4</v>
      </c>
      <c r="AA39">
        <v>3.6168256872782465E-4</v>
      </c>
      <c r="AB39">
        <v>3.3098909990442887E-4</v>
      </c>
      <c r="AC39">
        <v>3.2291084179376364E-4</v>
      </c>
      <c r="AD39">
        <v>2.9673388874708768E-4</v>
      </c>
      <c r="AE39">
        <v>3.4155346686437775E-4</v>
      </c>
      <c r="AF39">
        <v>3.7882962497152518E-4</v>
      </c>
      <c r="AG39">
        <v>3.7110085179699998E-4</v>
      </c>
      <c r="AH39">
        <v>3.4795162609042575E-4</v>
      </c>
      <c r="AI39">
        <v>1.9225684972116994E-6</v>
      </c>
      <c r="AJ39">
        <v>-3.008295008097018E-5</v>
      </c>
      <c r="AK39">
        <v>-3.55160828686095E-5</v>
      </c>
      <c r="AL39">
        <v>2.2079178556486142E-4</v>
      </c>
      <c r="AM39">
        <v>2.464110804084525E-4</v>
      </c>
      <c r="AN39">
        <v>6.5546988300630958E-3</v>
      </c>
      <c r="AO39">
        <v>-2.3865029967614162E-4</v>
      </c>
    </row>
    <row r="40" spans="1:41" x14ac:dyDescent="0.2">
      <c r="A40" t="s">
        <v>47</v>
      </c>
      <c r="B40">
        <v>2.0575396902417773</v>
      </c>
      <c r="C40">
        <v>1.8831703731628165E-4</v>
      </c>
      <c r="D40">
        <v>-2.2338121810669957E-4</v>
      </c>
      <c r="E40">
        <v>1.7124248282660971E-6</v>
      </c>
      <c r="F40">
        <v>-1.0333148839606471E-2</v>
      </c>
      <c r="G40">
        <v>-1.0189412229965056E-2</v>
      </c>
      <c r="H40">
        <v>-9.9325765167284502E-3</v>
      </c>
      <c r="I40">
        <v>-1.7683390600049129E-2</v>
      </c>
      <c r="J40">
        <v>-1.2003185008033764E-2</v>
      </c>
      <c r="K40">
        <v>-1.1389986318827906E-2</v>
      </c>
      <c r="L40">
        <v>-5.3264471876683173E-4</v>
      </c>
      <c r="M40">
        <v>-5.4347503702937617E-4</v>
      </c>
      <c r="N40">
        <v>-1.6351911539369292E-3</v>
      </c>
      <c r="O40">
        <v>-3.4412328805114424E-5</v>
      </c>
      <c r="P40">
        <v>-3.9414064892512451E-5</v>
      </c>
      <c r="Q40">
        <v>3.9048960126226072E-5</v>
      </c>
      <c r="R40">
        <v>2.36790758807643E-5</v>
      </c>
      <c r="S40">
        <v>-1.4532553599207057E-3</v>
      </c>
      <c r="T40">
        <v>4.3550605793786731E-5</v>
      </c>
      <c r="U40">
        <v>-6.1314241443372903E-3</v>
      </c>
      <c r="V40">
        <v>-1.8628682513069592E-4</v>
      </c>
      <c r="W40">
        <v>-2.5793828263008615E-4</v>
      </c>
      <c r="X40">
        <v>-1.3249923004581138E-3</v>
      </c>
      <c r="Y40">
        <v>-1.1676906596602785E-3</v>
      </c>
      <c r="Z40">
        <v>-1.2297016688974341E-3</v>
      </c>
      <c r="AA40">
        <v>-1.2379771050397277E-3</v>
      </c>
      <c r="AB40">
        <v>-1.1062673955850419E-3</v>
      </c>
      <c r="AC40">
        <v>-1.1319240135635531E-3</v>
      </c>
      <c r="AD40">
        <v>-1.2376483917912284E-3</v>
      </c>
      <c r="AE40">
        <v>-1.2954496018145721E-3</v>
      </c>
      <c r="AF40">
        <v>-1.3378075781570842E-3</v>
      </c>
      <c r="AG40">
        <v>-1.1188034045817108E-3</v>
      </c>
      <c r="AH40">
        <v>-1.1505489000919675E-3</v>
      </c>
      <c r="AI40">
        <v>-7.2298077309185141E-5</v>
      </c>
      <c r="AJ40">
        <v>7.6580544664100485E-5</v>
      </c>
      <c r="AK40">
        <v>2.3022955724444442E-4</v>
      </c>
      <c r="AL40">
        <v>-6.5668275529838299E-4</v>
      </c>
      <c r="AM40">
        <v>-3.4083579067467222E-4</v>
      </c>
      <c r="AN40">
        <v>-2.3865029967614162E-4</v>
      </c>
      <c r="AO40">
        <v>3.4450404722635525E-2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E30"/>
  <sheetViews>
    <sheetView workbookViewId="0"/>
  </sheetViews>
  <sheetFormatPr baseColWidth="10" defaultColWidth="8.83203125" defaultRowHeight="15" x14ac:dyDescent="0.2"/>
  <sheetData>
    <row r="1" spans="1:31" x14ac:dyDescent="0.2">
      <c r="A1" t="s">
        <v>19</v>
      </c>
      <c r="B1" t="s">
        <v>20</v>
      </c>
      <c r="C1" t="s">
        <v>22</v>
      </c>
      <c r="D1" t="s">
        <v>23</v>
      </c>
      <c r="E1" t="s">
        <v>53</v>
      </c>
      <c r="F1" t="s">
        <v>37</v>
      </c>
      <c r="G1" t="s">
        <v>41</v>
      </c>
      <c r="H1" t="s">
        <v>42</v>
      </c>
      <c r="I1" t="s">
        <v>43</v>
      </c>
      <c r="J1" t="s">
        <v>25</v>
      </c>
      <c r="K1" t="s">
        <v>26</v>
      </c>
      <c r="L1" t="s">
        <v>56</v>
      </c>
      <c r="M1" t="s">
        <v>57</v>
      </c>
      <c r="N1" t="s">
        <v>85</v>
      </c>
      <c r="O1" t="s">
        <v>86</v>
      </c>
      <c r="P1" t="s">
        <v>87</v>
      </c>
      <c r="Q1" t="s">
        <v>88</v>
      </c>
      <c r="R1" t="s">
        <v>89</v>
      </c>
      <c r="S1" t="s">
        <v>90</v>
      </c>
      <c r="T1" t="s">
        <v>91</v>
      </c>
      <c r="U1" t="s">
        <v>92</v>
      </c>
      <c r="V1" t="s">
        <v>93</v>
      </c>
      <c r="W1" t="s">
        <v>94</v>
      </c>
      <c r="X1" t="s">
        <v>95</v>
      </c>
      <c r="Y1" t="s">
        <v>44</v>
      </c>
      <c r="Z1" t="s">
        <v>45</v>
      </c>
      <c r="AA1" t="s">
        <v>46</v>
      </c>
      <c r="AB1" t="s">
        <v>98</v>
      </c>
      <c r="AC1" t="s">
        <v>99</v>
      </c>
      <c r="AD1" t="s">
        <v>100</v>
      </c>
      <c r="AE1" t="s">
        <v>47</v>
      </c>
    </row>
    <row r="2" spans="1:31" x14ac:dyDescent="0.2">
      <c r="A2" t="s">
        <v>22</v>
      </c>
      <c r="B2">
        <v>0.26086921258588458</v>
      </c>
      <c r="C2">
        <v>2.8796859198476876E-4</v>
      </c>
      <c r="D2">
        <v>-2.4019675904497448E-6</v>
      </c>
      <c r="E2">
        <v>2.7190270031622566E-5</v>
      </c>
      <c r="F2">
        <v>2.0446062654882741E-5</v>
      </c>
      <c r="G2">
        <v>-4.4027172623042715E-5</v>
      </c>
      <c r="H2">
        <v>9.8669526683069418E-5</v>
      </c>
      <c r="I2">
        <v>4.6108003624665956E-5</v>
      </c>
      <c r="J2">
        <v>-3.9199334894999772E-7</v>
      </c>
      <c r="K2">
        <v>-1.4853042843460497E-7</v>
      </c>
      <c r="L2">
        <v>-2.2752548409611067E-5</v>
      </c>
      <c r="M2">
        <v>-6.7636611509755414E-6</v>
      </c>
      <c r="N2">
        <v>-3.2231897529311984E-5</v>
      </c>
      <c r="O2">
        <v>-1.4750395223644325E-5</v>
      </c>
      <c r="P2">
        <v>5.4361957509053941E-6</v>
      </c>
      <c r="Q2">
        <v>1.379197341024041E-5</v>
      </c>
      <c r="R2">
        <v>-3.7300652165264811E-5</v>
      </c>
      <c r="S2">
        <v>-2.9787806080035099E-5</v>
      </c>
      <c r="T2">
        <v>7.1187079229131598E-6</v>
      </c>
      <c r="U2">
        <v>-1.6823096073130528E-5</v>
      </c>
      <c r="V2">
        <v>-6.134106595751163E-6</v>
      </c>
      <c r="W2">
        <v>-1.0221752353656448E-5</v>
      </c>
      <c r="X2">
        <v>-2.2769174269359622E-5</v>
      </c>
      <c r="Y2">
        <v>3.0641070639162397E-6</v>
      </c>
      <c r="Z2">
        <v>1.0344346866935373E-5</v>
      </c>
      <c r="AA2">
        <v>9.9601563111855658E-6</v>
      </c>
      <c r="AB2">
        <v>-3.7640973150707477E-5</v>
      </c>
      <c r="AC2">
        <v>5.2110357712918952E-5</v>
      </c>
      <c r="AD2">
        <v>-2.0209367756970868E-5</v>
      </c>
      <c r="AE2">
        <v>1.5869599755382357E-4</v>
      </c>
    </row>
    <row r="3" spans="1:31" x14ac:dyDescent="0.2">
      <c r="A3" t="s">
        <v>23</v>
      </c>
      <c r="B3">
        <v>-1.0083303325763626E-2</v>
      </c>
      <c r="C3">
        <v>-2.4019675904497448E-6</v>
      </c>
      <c r="D3">
        <v>1.0525528343275532E-6</v>
      </c>
      <c r="E3">
        <v>5.2894092171871168E-6</v>
      </c>
      <c r="F3">
        <v>4.2229918957368695E-6</v>
      </c>
      <c r="G3">
        <v>6.2644790609205484E-6</v>
      </c>
      <c r="H3">
        <v>-4.5258153884642556E-6</v>
      </c>
      <c r="I3">
        <v>4.2419944348159148E-6</v>
      </c>
      <c r="J3">
        <v>1.3233797250065633E-7</v>
      </c>
      <c r="K3">
        <v>-3.6306398083855516E-8</v>
      </c>
      <c r="L3">
        <v>4.8024780535617964E-7</v>
      </c>
      <c r="M3">
        <v>-1.9976578769234171E-7</v>
      </c>
      <c r="N3">
        <v>3.7703181812649315E-6</v>
      </c>
      <c r="O3">
        <v>2.5580552299053099E-6</v>
      </c>
      <c r="P3">
        <v>1.7452052597991387E-6</v>
      </c>
      <c r="Q3">
        <v>1.5439799595791636E-6</v>
      </c>
      <c r="R3">
        <v>1.8617369948959326E-6</v>
      </c>
      <c r="S3">
        <v>1.674942417958997E-6</v>
      </c>
      <c r="T3">
        <v>1.447608230467214E-6</v>
      </c>
      <c r="U3">
        <v>2.0313024601828638E-6</v>
      </c>
      <c r="V3">
        <v>1.5061857483001322E-6</v>
      </c>
      <c r="W3">
        <v>2.1262057783812526E-6</v>
      </c>
      <c r="X3">
        <v>2.2020491432596964E-6</v>
      </c>
      <c r="Y3">
        <v>-4.5337532585960623E-7</v>
      </c>
      <c r="Z3">
        <v>1.8725759645546043E-7</v>
      </c>
      <c r="AA3">
        <v>-4.6021122399711279E-7</v>
      </c>
      <c r="AB3">
        <v>2.4411877517804982E-6</v>
      </c>
      <c r="AC3">
        <v>2.1930898706050417E-6</v>
      </c>
      <c r="AD3">
        <v>2.2742758196061334E-6</v>
      </c>
      <c r="AE3">
        <v>-7.6796685351664378E-5</v>
      </c>
    </row>
    <row r="4" spans="1:31" x14ac:dyDescent="0.2">
      <c r="A4" t="s">
        <v>53</v>
      </c>
      <c r="B4">
        <v>0.62675370552988385</v>
      </c>
      <c r="C4">
        <v>2.7190270031622566E-5</v>
      </c>
      <c r="D4">
        <v>5.2894092171871168E-6</v>
      </c>
      <c r="E4">
        <v>5.9526830786371633E-4</v>
      </c>
      <c r="F4">
        <v>3.0988547233586425E-4</v>
      </c>
      <c r="G4">
        <v>7.5555016499435908E-6</v>
      </c>
      <c r="H4">
        <v>4.6926162407644215E-5</v>
      </c>
      <c r="I4">
        <v>5.0330867294973822E-5</v>
      </c>
      <c r="J4">
        <v>-1.1004208616158999E-6</v>
      </c>
      <c r="K4">
        <v>-1.0285379045569926E-7</v>
      </c>
      <c r="L4">
        <v>-5.7110262701160427E-5</v>
      </c>
      <c r="M4">
        <v>-1.863550778045975E-5</v>
      </c>
      <c r="N4">
        <v>-3.7940232357699168E-5</v>
      </c>
      <c r="O4">
        <v>-5.3039917955155199E-6</v>
      </c>
      <c r="P4">
        <v>-3.9337543376758674E-5</v>
      </c>
      <c r="Q4">
        <v>-3.9959909787082098E-5</v>
      </c>
      <c r="R4">
        <v>-2.0202643716710531E-5</v>
      </c>
      <c r="S4">
        <v>-2.111356684879578E-5</v>
      </c>
      <c r="T4">
        <v>8.1430608731918562E-6</v>
      </c>
      <c r="U4">
        <v>1.3637526423532605E-5</v>
      </c>
      <c r="V4">
        <v>2.6775405982529347E-5</v>
      </c>
      <c r="W4">
        <v>-3.8851576109038308E-5</v>
      </c>
      <c r="X4">
        <v>-1.846640700795953E-5</v>
      </c>
      <c r="Y4">
        <v>-6.3721009193141374E-6</v>
      </c>
      <c r="Z4">
        <v>2.1453540607810267E-5</v>
      </c>
      <c r="AA4">
        <v>-1.7834686937511105E-6</v>
      </c>
      <c r="AB4">
        <v>-9.1342548692131505E-5</v>
      </c>
      <c r="AC4">
        <v>8.6703168867664873E-5</v>
      </c>
      <c r="AD4">
        <v>-1.1550260095256223E-4</v>
      </c>
      <c r="AE4">
        <v>-9.006030890457606E-6</v>
      </c>
    </row>
    <row r="5" spans="1:31" x14ac:dyDescent="0.2">
      <c r="A5" t="s">
        <v>37</v>
      </c>
      <c r="B5">
        <v>0.27465081983139389</v>
      </c>
      <c r="C5">
        <v>2.0446062654882741E-5</v>
      </c>
      <c r="D5">
        <v>4.2229918957368695E-6</v>
      </c>
      <c r="E5">
        <v>3.0988547233586425E-4</v>
      </c>
      <c r="F5">
        <v>4.1428073460838774E-4</v>
      </c>
      <c r="G5">
        <v>-2.0504962945286276E-5</v>
      </c>
      <c r="H5">
        <v>2.5541213747680391E-5</v>
      </c>
      <c r="I5">
        <v>-1.9114649359649473E-5</v>
      </c>
      <c r="J5">
        <v>-8.4338511629128134E-7</v>
      </c>
      <c r="K5">
        <v>-5.8395981331667624E-7</v>
      </c>
      <c r="L5">
        <v>-3.1115303563627105E-5</v>
      </c>
      <c r="M5">
        <v>-1.1742931653607421E-5</v>
      </c>
      <c r="N5">
        <v>-7.6564414072327906E-5</v>
      </c>
      <c r="O5">
        <v>-5.1039501716669766E-5</v>
      </c>
      <c r="P5">
        <v>-5.8214405097203648E-5</v>
      </c>
      <c r="Q5">
        <v>-6.0431453012992168E-5</v>
      </c>
      <c r="R5">
        <v>-4.6432842617358976E-5</v>
      </c>
      <c r="S5">
        <v>-6.0722566736020613E-5</v>
      </c>
      <c r="T5">
        <v>-5.5795218947224097E-5</v>
      </c>
      <c r="U5">
        <v>-4.9056674950384495E-5</v>
      </c>
      <c r="V5">
        <v>-5.9353184268536681E-5</v>
      </c>
      <c r="W5">
        <v>-8.4179073059000779E-5</v>
      </c>
      <c r="X5">
        <v>-4.9768091075978846E-5</v>
      </c>
      <c r="Y5">
        <v>-5.1757623352080202E-6</v>
      </c>
      <c r="Z5">
        <v>1.13395229304951E-5</v>
      </c>
      <c r="AA5">
        <v>3.7964306455379496E-6</v>
      </c>
      <c r="AB5">
        <v>-2.1842701993847219E-5</v>
      </c>
      <c r="AC5">
        <v>-4.6155373235957421E-6</v>
      </c>
      <c r="AD5">
        <v>-8.8162745571048503E-5</v>
      </c>
      <c r="AE5">
        <v>-8.0648320571140384E-5</v>
      </c>
    </row>
    <row r="6" spans="1:31" x14ac:dyDescent="0.2">
      <c r="A6" t="s">
        <v>41</v>
      </c>
      <c r="B6">
        <v>4.6534826202763377E-2</v>
      </c>
      <c r="C6">
        <v>-4.4027172623042715E-5</v>
      </c>
      <c r="D6">
        <v>6.2644790609205484E-6</v>
      </c>
      <c r="E6">
        <v>7.5555016499435908E-6</v>
      </c>
      <c r="F6">
        <v>-2.0504962945286276E-5</v>
      </c>
      <c r="G6">
        <v>9.01401031868059E-3</v>
      </c>
      <c r="H6">
        <v>4.6602198046173426E-5</v>
      </c>
      <c r="I6">
        <v>2.4797010723480526E-4</v>
      </c>
      <c r="J6">
        <v>1.6639570936898162E-6</v>
      </c>
      <c r="K6">
        <v>-2.0451246510676778E-7</v>
      </c>
      <c r="L6">
        <v>2.3948355955311269E-5</v>
      </c>
      <c r="M6">
        <v>9.73267980741569E-6</v>
      </c>
      <c r="N6">
        <v>1.992011655747196E-4</v>
      </c>
      <c r="O6">
        <v>1.8814483720957413E-4</v>
      </c>
      <c r="P6">
        <v>1.6349445915696167E-4</v>
      </c>
      <c r="Q6">
        <v>9.432748698572828E-5</v>
      </c>
      <c r="R6">
        <v>3.2150918989778059E-4</v>
      </c>
      <c r="S6">
        <v>1.5188228769468247E-4</v>
      </c>
      <c r="T6">
        <v>1.2509810968008432E-4</v>
      </c>
      <c r="U6">
        <v>1.6503522990122079E-4</v>
      </c>
      <c r="V6">
        <v>1.536106200895177E-4</v>
      </c>
      <c r="W6">
        <v>1.481891511844319E-4</v>
      </c>
      <c r="X6">
        <v>1.274238487372016E-4</v>
      </c>
      <c r="Y6">
        <v>-2.9645346299282197E-6</v>
      </c>
      <c r="Z6">
        <v>4.6195275154134734E-5</v>
      </c>
      <c r="AA6">
        <v>-2.990626829078198E-5</v>
      </c>
      <c r="AB6">
        <v>-1.9853634743925328E-4</v>
      </c>
      <c r="AC6">
        <v>-8.6536497194271661E-5</v>
      </c>
      <c r="AD6">
        <v>1.0922263669790747E-4</v>
      </c>
      <c r="AE6">
        <v>-8.7994525724365718E-4</v>
      </c>
    </row>
    <row r="7" spans="1:31" x14ac:dyDescent="0.2">
      <c r="A7" t="s">
        <v>42</v>
      </c>
      <c r="B7">
        <v>1.3678858868435784E-2</v>
      </c>
      <c r="C7">
        <v>9.8669526683069418E-5</v>
      </c>
      <c r="D7">
        <v>-4.5258153884642556E-6</v>
      </c>
      <c r="E7">
        <v>4.6926162407644215E-5</v>
      </c>
      <c r="F7">
        <v>2.5541213747680391E-5</v>
      </c>
      <c r="G7">
        <v>4.6602198046173426E-5</v>
      </c>
      <c r="H7">
        <v>3.1287358267777742E-4</v>
      </c>
      <c r="I7">
        <v>1.2170284929582638E-4</v>
      </c>
      <c r="J7">
        <v>5.3451833404781865E-7</v>
      </c>
      <c r="K7">
        <v>5.3259488898245539E-7</v>
      </c>
      <c r="L7">
        <v>-2.1788806355677117E-6</v>
      </c>
      <c r="M7">
        <v>-9.9936253570226597E-9</v>
      </c>
      <c r="N7">
        <v>1.9871701120269704E-5</v>
      </c>
      <c r="O7">
        <v>1.2512912718133635E-5</v>
      </c>
      <c r="P7">
        <v>4.4227473824137398E-5</v>
      </c>
      <c r="Q7">
        <v>3.6672540816042805E-5</v>
      </c>
      <c r="R7">
        <v>1.6036758218026999E-5</v>
      </c>
      <c r="S7">
        <v>2.6601940062131896E-5</v>
      </c>
      <c r="T7">
        <v>3.4621227400628438E-5</v>
      </c>
      <c r="U7">
        <v>1.7882683422039815E-5</v>
      </c>
      <c r="V7">
        <v>1.1124009972482994E-5</v>
      </c>
      <c r="W7">
        <v>7.3958329970124587E-6</v>
      </c>
      <c r="X7">
        <v>-1.2848278401825095E-6</v>
      </c>
      <c r="Y7">
        <v>1.6755995027671855E-6</v>
      </c>
      <c r="Z7">
        <v>9.195629968467131E-6</v>
      </c>
      <c r="AA7">
        <v>9.1421768470924747E-6</v>
      </c>
      <c r="AB7">
        <v>1.7614117265541432E-5</v>
      </c>
      <c r="AC7">
        <v>-4.1056805061457326E-6</v>
      </c>
      <c r="AD7">
        <v>1.010171918349698E-5</v>
      </c>
      <c r="AE7">
        <v>5.5368629414293447E-5</v>
      </c>
    </row>
    <row r="8" spans="1:31" x14ac:dyDescent="0.2">
      <c r="A8" t="s">
        <v>43</v>
      </c>
      <c r="B8">
        <v>0.12488021874614855</v>
      </c>
      <c r="C8">
        <v>4.6108003624665956E-5</v>
      </c>
      <c r="D8">
        <v>4.2419944348159148E-6</v>
      </c>
      <c r="E8">
        <v>5.0330867294973822E-5</v>
      </c>
      <c r="F8">
        <v>-1.9114649359649473E-5</v>
      </c>
      <c r="G8">
        <v>2.4797010723480526E-4</v>
      </c>
      <c r="H8">
        <v>1.2170284929582638E-4</v>
      </c>
      <c r="I8">
        <v>1.1746536842317759E-2</v>
      </c>
      <c r="J8">
        <v>2.6276497747649673E-6</v>
      </c>
      <c r="K8">
        <v>1.1850028777005308E-6</v>
      </c>
      <c r="L8">
        <v>4.9387202019385724E-6</v>
      </c>
      <c r="M8">
        <v>6.0747616272999205E-6</v>
      </c>
      <c r="N8">
        <v>2.6691783829692095E-4</v>
      </c>
      <c r="O8">
        <v>1.9786160913054063E-4</v>
      </c>
      <c r="P8">
        <v>2.313112437711653E-4</v>
      </c>
      <c r="Q8">
        <v>2.5386712886630853E-4</v>
      </c>
      <c r="R8">
        <v>2.3356086667085721E-4</v>
      </c>
      <c r="S8">
        <v>1.9087509243753928E-4</v>
      </c>
      <c r="T8">
        <v>2.2957269117349907E-4</v>
      </c>
      <c r="U8">
        <v>2.3032339022754838E-4</v>
      </c>
      <c r="V8">
        <v>1.8045664096173758E-4</v>
      </c>
      <c r="W8">
        <v>2.1992357693386008E-4</v>
      </c>
      <c r="X8">
        <v>2.1423488015992714E-4</v>
      </c>
      <c r="Y8">
        <v>-3.5306478995218561E-6</v>
      </c>
      <c r="Z8">
        <v>7.0920522717091229E-6</v>
      </c>
      <c r="AA8">
        <v>2.3180430235991939E-5</v>
      </c>
      <c r="AB8">
        <v>-1.0919631609601242E-4</v>
      </c>
      <c r="AC8">
        <v>-6.2871497281627594E-5</v>
      </c>
      <c r="AD8">
        <v>7.7949604568735903E-5</v>
      </c>
      <c r="AE8">
        <v>-8.4233225498776473E-4</v>
      </c>
    </row>
    <row r="9" spans="1:31" x14ac:dyDescent="0.2">
      <c r="A9" t="s">
        <v>25</v>
      </c>
      <c r="B9">
        <v>6.2493874097019541E-3</v>
      </c>
      <c r="C9">
        <v>-3.9199334894999772E-7</v>
      </c>
      <c r="D9">
        <v>1.3233797250065633E-7</v>
      </c>
      <c r="E9">
        <v>-1.1004208616158999E-6</v>
      </c>
      <c r="F9">
        <v>-8.4338511629128134E-7</v>
      </c>
      <c r="G9">
        <v>1.6639570936898162E-6</v>
      </c>
      <c r="H9">
        <v>5.3451833404781865E-7</v>
      </c>
      <c r="I9">
        <v>2.6276497747649673E-6</v>
      </c>
      <c r="J9">
        <v>4.1060975782417959E-7</v>
      </c>
      <c r="K9">
        <v>4.5780314129346277E-8</v>
      </c>
      <c r="L9">
        <v>-2.0915701760524134E-7</v>
      </c>
      <c r="M9">
        <v>-1.7937890929496564E-8</v>
      </c>
      <c r="N9">
        <v>3.8276012654372539E-6</v>
      </c>
      <c r="O9">
        <v>1.8539033753056139E-6</v>
      </c>
      <c r="P9">
        <v>1.7760177324832094E-6</v>
      </c>
      <c r="Q9">
        <v>1.1183142211229932E-6</v>
      </c>
      <c r="R9">
        <v>2.2784692500371148E-6</v>
      </c>
      <c r="S9">
        <v>1.6481603550551453E-6</v>
      </c>
      <c r="T9">
        <v>1.2180892588011128E-6</v>
      </c>
      <c r="U9">
        <v>1.5888113850712872E-6</v>
      </c>
      <c r="V9">
        <v>7.564360776536769E-7</v>
      </c>
      <c r="W9">
        <v>1.2879420939977261E-6</v>
      </c>
      <c r="X9">
        <v>2.0073606037646251E-6</v>
      </c>
      <c r="Y9">
        <v>-2.4732757502914674E-8</v>
      </c>
      <c r="Z9">
        <v>1.1814114175081491E-8</v>
      </c>
      <c r="AA9">
        <v>-2.2816622200794418E-7</v>
      </c>
      <c r="AB9">
        <v>2.4238787324867663E-6</v>
      </c>
      <c r="AC9">
        <v>-6.2531526509082943E-8</v>
      </c>
      <c r="AD9">
        <v>1.8051533189501215E-6</v>
      </c>
      <c r="AE9">
        <v>-2.957167108925359E-5</v>
      </c>
    </row>
    <row r="10" spans="1:31" x14ac:dyDescent="0.2">
      <c r="A10" t="s">
        <v>26</v>
      </c>
      <c r="B10">
        <v>3.0801299535677625E-3</v>
      </c>
      <c r="C10">
        <v>-1.4853042843460497E-7</v>
      </c>
      <c r="D10">
        <v>-3.6306398083855516E-8</v>
      </c>
      <c r="E10">
        <v>-1.0285379045569926E-7</v>
      </c>
      <c r="F10">
        <v>-5.8395981331667624E-7</v>
      </c>
      <c r="G10">
        <v>-2.0451246510676778E-7</v>
      </c>
      <c r="H10">
        <v>5.3259488898245539E-7</v>
      </c>
      <c r="I10">
        <v>1.1850028777005308E-6</v>
      </c>
      <c r="J10">
        <v>4.5780314129346277E-8</v>
      </c>
      <c r="K10">
        <v>5.6576401252527112E-7</v>
      </c>
      <c r="L10">
        <v>-4.7066402719339504E-7</v>
      </c>
      <c r="M10">
        <v>-1.31939657571049E-7</v>
      </c>
      <c r="N10">
        <v>1.511464868436991E-6</v>
      </c>
      <c r="O10">
        <v>5.8418627833778979E-7</v>
      </c>
      <c r="P10">
        <v>7.3791395032745717E-7</v>
      </c>
      <c r="Q10">
        <v>-1.3578294625355428E-6</v>
      </c>
      <c r="R10">
        <v>2.8778080572981095E-7</v>
      </c>
      <c r="S10">
        <v>-7.8645212059806282E-7</v>
      </c>
      <c r="T10">
        <v>5.9300579551506806E-7</v>
      </c>
      <c r="U10">
        <v>1.0844202807955495E-6</v>
      </c>
      <c r="V10">
        <v>-1.6471155361693493E-7</v>
      </c>
      <c r="W10">
        <v>-1.6429607612227108E-6</v>
      </c>
      <c r="X10">
        <v>-5.7234564373868143E-8</v>
      </c>
      <c r="Y10">
        <v>1.8663534223806721E-7</v>
      </c>
      <c r="Z10">
        <v>-9.4379305004215784E-9</v>
      </c>
      <c r="AA10">
        <v>-3.2010750479833048E-7</v>
      </c>
      <c r="AB10">
        <v>2.0887473427900776E-6</v>
      </c>
      <c r="AC10">
        <v>-1.1347376891668656E-7</v>
      </c>
      <c r="AD10">
        <v>1.4222275661005114E-6</v>
      </c>
      <c r="AE10">
        <v>-2.7947113088241905E-5</v>
      </c>
    </row>
    <row r="11" spans="1:31" x14ac:dyDescent="0.2">
      <c r="A11" t="s">
        <v>56</v>
      </c>
      <c r="B11">
        <v>0.25503874819399736</v>
      </c>
      <c r="C11">
        <v>-2.2752548409611067E-5</v>
      </c>
      <c r="D11">
        <v>4.8024780535617964E-7</v>
      </c>
      <c r="E11">
        <v>-5.7110262701160427E-5</v>
      </c>
      <c r="F11">
        <v>-3.1115303563627105E-5</v>
      </c>
      <c r="G11">
        <v>2.3948355955311269E-5</v>
      </c>
      <c r="H11">
        <v>-2.1788806355677117E-6</v>
      </c>
      <c r="I11">
        <v>4.9387202019385724E-6</v>
      </c>
      <c r="J11">
        <v>-2.0915701760524134E-7</v>
      </c>
      <c r="K11">
        <v>-4.7066402719339504E-7</v>
      </c>
      <c r="L11">
        <v>4.2541426988149765E-5</v>
      </c>
      <c r="M11">
        <v>6.6339480302851639E-7</v>
      </c>
      <c r="N11">
        <v>2.2577186812938729E-5</v>
      </c>
      <c r="O11">
        <v>2.7982646928673111E-5</v>
      </c>
      <c r="P11">
        <v>2.9761144534681087E-5</v>
      </c>
      <c r="Q11">
        <v>2.4541849453792064E-5</v>
      </c>
      <c r="R11">
        <v>2.1316325056875301E-5</v>
      </c>
      <c r="S11">
        <v>2.8502179670654825E-5</v>
      </c>
      <c r="T11">
        <v>1.9186959460773041E-5</v>
      </c>
      <c r="U11">
        <v>2.0276556787796323E-5</v>
      </c>
      <c r="V11">
        <v>2.6419159007481409E-5</v>
      </c>
      <c r="W11">
        <v>2.4719156513521854E-5</v>
      </c>
      <c r="X11">
        <v>3.8220464901375152E-5</v>
      </c>
      <c r="Y11">
        <v>-2.1131992519676728E-6</v>
      </c>
      <c r="Z11">
        <v>-1.0983730535324558E-6</v>
      </c>
      <c r="AA11">
        <v>1.6295404098221858E-6</v>
      </c>
      <c r="AB11">
        <v>3.0688158940137095E-5</v>
      </c>
      <c r="AC11">
        <v>3.2943958853894301E-5</v>
      </c>
      <c r="AD11">
        <v>2.4849571952355322E-5</v>
      </c>
      <c r="AE11">
        <v>-2.4909434774758414E-4</v>
      </c>
    </row>
    <row r="12" spans="1:31" x14ac:dyDescent="0.2">
      <c r="A12" t="s">
        <v>57</v>
      </c>
      <c r="B12">
        <v>0.10422839722279754</v>
      </c>
      <c r="C12">
        <v>-6.7636611509755414E-6</v>
      </c>
      <c r="D12">
        <v>-1.9976578769234171E-7</v>
      </c>
      <c r="E12">
        <v>-1.863550778045975E-5</v>
      </c>
      <c r="F12">
        <v>-1.1742931653607421E-5</v>
      </c>
      <c r="G12">
        <v>9.73267980741569E-6</v>
      </c>
      <c r="H12">
        <v>-9.9936253570226597E-9</v>
      </c>
      <c r="I12">
        <v>6.0747616272999205E-6</v>
      </c>
      <c r="J12">
        <v>-1.7937890929496564E-8</v>
      </c>
      <c r="K12">
        <v>-1.31939657571049E-7</v>
      </c>
      <c r="L12">
        <v>6.6339480302851639E-7</v>
      </c>
      <c r="M12">
        <v>1.4094605562289167E-5</v>
      </c>
      <c r="N12">
        <v>2.0899566032307306E-6</v>
      </c>
      <c r="O12">
        <v>3.6845690781345564E-6</v>
      </c>
      <c r="P12">
        <v>5.9064786850675506E-6</v>
      </c>
      <c r="Q12">
        <v>1.9691784600978339E-6</v>
      </c>
      <c r="R12">
        <v>8.0941748080422538E-6</v>
      </c>
      <c r="S12">
        <v>8.3220062763424872E-6</v>
      </c>
      <c r="T12">
        <v>3.650039056960183E-6</v>
      </c>
      <c r="U12">
        <v>4.4058272793453588E-7</v>
      </c>
      <c r="V12">
        <v>8.5045625642956052E-6</v>
      </c>
      <c r="W12">
        <v>7.3756466464062888E-6</v>
      </c>
      <c r="X12">
        <v>1.1137224459701089E-5</v>
      </c>
      <c r="Y12">
        <v>-4.3037960379854958E-7</v>
      </c>
      <c r="Z12">
        <v>-2.7557367777468413E-6</v>
      </c>
      <c r="AA12">
        <v>-2.3709584826558904E-6</v>
      </c>
      <c r="AB12">
        <v>1.2397040205756395E-5</v>
      </c>
      <c r="AC12">
        <v>9.823114944236235E-6</v>
      </c>
      <c r="AD12">
        <v>1.149500044163259E-5</v>
      </c>
      <c r="AE12">
        <v>-6.1506505776620283E-5</v>
      </c>
    </row>
    <row r="13" spans="1:31" x14ac:dyDescent="0.2">
      <c r="A13" t="s">
        <v>85</v>
      </c>
      <c r="B13">
        <v>-0.10294961915875096</v>
      </c>
      <c r="C13">
        <v>-3.2231897529311984E-5</v>
      </c>
      <c r="D13">
        <v>3.7703181812649315E-6</v>
      </c>
      <c r="E13">
        <v>-3.7940232357699168E-5</v>
      </c>
      <c r="F13">
        <v>-7.6564414072327906E-5</v>
      </c>
      <c r="G13">
        <v>1.992011655747196E-4</v>
      </c>
      <c r="H13">
        <v>1.9871701120269704E-5</v>
      </c>
      <c r="I13">
        <v>2.6691783829692095E-4</v>
      </c>
      <c r="J13">
        <v>3.8276012654372539E-6</v>
      </c>
      <c r="K13">
        <v>1.511464868436991E-6</v>
      </c>
      <c r="L13">
        <v>2.2577186812938729E-5</v>
      </c>
      <c r="M13">
        <v>2.0899566032307306E-6</v>
      </c>
      <c r="N13">
        <v>2.9650583186340397E-3</v>
      </c>
      <c r="O13">
        <v>1.4490888816004162E-3</v>
      </c>
      <c r="P13">
        <v>1.4357139566397617E-3</v>
      </c>
      <c r="Q13">
        <v>1.4358031376689802E-3</v>
      </c>
      <c r="R13">
        <v>1.4274073792979432E-3</v>
      </c>
      <c r="S13">
        <v>1.4228371418026702E-3</v>
      </c>
      <c r="T13">
        <v>1.4280613953397544E-3</v>
      </c>
      <c r="U13">
        <v>1.4453877161176298E-3</v>
      </c>
      <c r="V13">
        <v>1.4399964220773922E-3</v>
      </c>
      <c r="W13">
        <v>1.4412420172868865E-3</v>
      </c>
      <c r="X13">
        <v>1.4454556857153595E-3</v>
      </c>
      <c r="Y13">
        <v>-4.9705804315626511E-6</v>
      </c>
      <c r="Z13">
        <v>1.9909627772850063E-6</v>
      </c>
      <c r="AA13">
        <v>-5.6649678835948438E-6</v>
      </c>
      <c r="AB13">
        <v>6.5615577062117197E-4</v>
      </c>
      <c r="AC13">
        <v>7.8053635852653894E-4</v>
      </c>
      <c r="AD13">
        <v>3.534819592949164E-4</v>
      </c>
      <c r="AE13">
        <v>-1.9959460817008511E-3</v>
      </c>
    </row>
    <row r="14" spans="1:31" x14ac:dyDescent="0.2">
      <c r="A14" t="s">
        <v>86</v>
      </c>
      <c r="B14">
        <v>-0.13016543891006116</v>
      </c>
      <c r="C14">
        <v>-1.4750395223644325E-5</v>
      </c>
      <c r="D14">
        <v>2.5580552299053099E-6</v>
      </c>
      <c r="E14">
        <v>-5.3039917955155199E-6</v>
      </c>
      <c r="F14">
        <v>-5.1039501716669766E-5</v>
      </c>
      <c r="G14">
        <v>1.8814483720957413E-4</v>
      </c>
      <c r="H14">
        <v>1.2512912718133635E-5</v>
      </c>
      <c r="I14">
        <v>1.9786160913054063E-4</v>
      </c>
      <c r="J14">
        <v>1.8539033753056139E-6</v>
      </c>
      <c r="K14">
        <v>5.8418627833778979E-7</v>
      </c>
      <c r="L14">
        <v>2.7982646928673111E-5</v>
      </c>
      <c r="M14">
        <v>3.6845690781345564E-6</v>
      </c>
      <c r="N14">
        <v>1.4490888816004162E-3</v>
      </c>
      <c r="O14">
        <v>1.965900336846532E-3</v>
      </c>
      <c r="P14">
        <v>1.428818767342696E-3</v>
      </c>
      <c r="Q14">
        <v>1.429247000267047E-3</v>
      </c>
      <c r="R14">
        <v>1.4164534361808387E-3</v>
      </c>
      <c r="S14">
        <v>1.4254555818328852E-3</v>
      </c>
      <c r="T14">
        <v>1.4187529197763934E-3</v>
      </c>
      <c r="U14">
        <v>1.4333798812646804E-3</v>
      </c>
      <c r="V14">
        <v>1.4318474255528299E-3</v>
      </c>
      <c r="W14">
        <v>1.433166084694691E-3</v>
      </c>
      <c r="X14">
        <v>1.4364326346865217E-3</v>
      </c>
      <c r="Y14">
        <v>-3.4999990725370498E-6</v>
      </c>
      <c r="Z14">
        <v>-1.3066897603256418E-5</v>
      </c>
      <c r="AA14">
        <v>-5.272705697996465E-6</v>
      </c>
      <c r="AB14">
        <v>6.2252737946588395E-4</v>
      </c>
      <c r="AC14">
        <v>7.6664131971453673E-4</v>
      </c>
      <c r="AD14">
        <v>3.2146591072470138E-4</v>
      </c>
      <c r="AE14">
        <v>-1.8542973791717181E-3</v>
      </c>
    </row>
    <row r="15" spans="1:31" x14ac:dyDescent="0.2">
      <c r="A15" t="s">
        <v>87</v>
      </c>
      <c r="B15">
        <v>-0.13710402455490389</v>
      </c>
      <c r="C15">
        <v>5.4361957509053941E-6</v>
      </c>
      <c r="D15">
        <v>1.7452052597991387E-6</v>
      </c>
      <c r="E15">
        <v>-3.9337543376758674E-5</v>
      </c>
      <c r="F15">
        <v>-5.8214405097203648E-5</v>
      </c>
      <c r="G15">
        <v>1.6349445915696167E-4</v>
      </c>
      <c r="H15">
        <v>4.4227473824137398E-5</v>
      </c>
      <c r="I15">
        <v>2.313112437711653E-4</v>
      </c>
      <c r="J15">
        <v>1.7760177324832094E-6</v>
      </c>
      <c r="K15">
        <v>7.3791395032745717E-7</v>
      </c>
      <c r="L15">
        <v>2.9761144534681087E-5</v>
      </c>
      <c r="M15">
        <v>5.9064786850675506E-6</v>
      </c>
      <c r="N15">
        <v>1.4357139566397617E-3</v>
      </c>
      <c r="O15">
        <v>1.428818767342696E-3</v>
      </c>
      <c r="P15">
        <v>2.0752655069626968E-3</v>
      </c>
      <c r="Q15">
        <v>1.4249771505346499E-3</v>
      </c>
      <c r="R15">
        <v>1.4085267998136738E-3</v>
      </c>
      <c r="S15">
        <v>1.4106137154985177E-3</v>
      </c>
      <c r="T15">
        <v>1.4146177830299434E-3</v>
      </c>
      <c r="U15">
        <v>1.428114388126243E-3</v>
      </c>
      <c r="V15">
        <v>1.4251211618855901E-3</v>
      </c>
      <c r="W15">
        <v>1.4238029276089979E-3</v>
      </c>
      <c r="X15">
        <v>1.4284135001032296E-3</v>
      </c>
      <c r="Y15">
        <v>-3.2080890114844019E-6</v>
      </c>
      <c r="Z15">
        <v>-2.3411532915163933E-5</v>
      </c>
      <c r="AA15">
        <v>-1.7039587189195857E-5</v>
      </c>
      <c r="AB15">
        <v>6.1022655007849291E-4</v>
      </c>
      <c r="AC15">
        <v>7.6098287727569035E-4</v>
      </c>
      <c r="AD15">
        <v>2.1765700459944946E-4</v>
      </c>
      <c r="AE15">
        <v>-1.8328756963976629E-3</v>
      </c>
    </row>
    <row r="16" spans="1:31" x14ac:dyDescent="0.2">
      <c r="A16" t="s">
        <v>88</v>
      </c>
      <c r="B16">
        <v>-0.10214690113004034</v>
      </c>
      <c r="C16">
        <v>1.379197341024041E-5</v>
      </c>
      <c r="D16">
        <v>1.5439799595791636E-6</v>
      </c>
      <c r="E16">
        <v>-3.9959909787082098E-5</v>
      </c>
      <c r="F16">
        <v>-6.0431453012992168E-5</v>
      </c>
      <c r="G16">
        <v>9.432748698572828E-5</v>
      </c>
      <c r="H16">
        <v>3.6672540816042805E-5</v>
      </c>
      <c r="I16">
        <v>2.5386712886630853E-4</v>
      </c>
      <c r="J16">
        <v>1.1183142211229932E-6</v>
      </c>
      <c r="K16">
        <v>-1.3578294625355428E-6</v>
      </c>
      <c r="L16">
        <v>2.4541849453792064E-5</v>
      </c>
      <c r="M16">
        <v>1.9691784600978339E-6</v>
      </c>
      <c r="N16">
        <v>1.4358031376689802E-3</v>
      </c>
      <c r="O16">
        <v>1.429247000267047E-3</v>
      </c>
      <c r="P16">
        <v>1.4249771505346499E-3</v>
      </c>
      <c r="Q16">
        <v>2.1922845696701965E-3</v>
      </c>
      <c r="R16">
        <v>1.4116213851338268E-3</v>
      </c>
      <c r="S16">
        <v>1.4145002371879478E-3</v>
      </c>
      <c r="T16">
        <v>1.4194168411746583E-3</v>
      </c>
      <c r="U16">
        <v>1.4303381579068744E-3</v>
      </c>
      <c r="V16">
        <v>1.4272926442123646E-3</v>
      </c>
      <c r="W16">
        <v>1.4288946069004626E-3</v>
      </c>
      <c r="X16">
        <v>1.430455513108162E-3</v>
      </c>
      <c r="Y16">
        <v>-3.173260715433656E-6</v>
      </c>
      <c r="Z16">
        <v>-6.0748464563201461E-6</v>
      </c>
      <c r="AA16">
        <v>1.8472831821419913E-5</v>
      </c>
      <c r="AB16">
        <v>5.872787992015141E-4</v>
      </c>
      <c r="AC16">
        <v>7.752749659908413E-4</v>
      </c>
      <c r="AD16">
        <v>3.062740757680619E-4</v>
      </c>
      <c r="AE16">
        <v>-1.6301420529743408E-3</v>
      </c>
    </row>
    <row r="17" spans="1:31" x14ac:dyDescent="0.2">
      <c r="A17" t="s">
        <v>89</v>
      </c>
      <c r="B17">
        <v>-9.6243105067743473E-2</v>
      </c>
      <c r="C17">
        <v>-3.7300652165264811E-5</v>
      </c>
      <c r="D17">
        <v>1.8617369948959326E-6</v>
      </c>
      <c r="E17">
        <v>-2.0202643716710531E-5</v>
      </c>
      <c r="F17">
        <v>-4.6432842617358976E-5</v>
      </c>
      <c r="G17">
        <v>3.2150918989778059E-4</v>
      </c>
      <c r="H17">
        <v>1.6036758218026999E-5</v>
      </c>
      <c r="I17">
        <v>2.3356086667085721E-4</v>
      </c>
      <c r="J17">
        <v>2.2784692500371148E-6</v>
      </c>
      <c r="K17">
        <v>2.8778080572981095E-7</v>
      </c>
      <c r="L17">
        <v>2.1316325056875301E-5</v>
      </c>
      <c r="M17">
        <v>8.0941748080422538E-6</v>
      </c>
      <c r="N17">
        <v>1.4274073792979432E-3</v>
      </c>
      <c r="O17">
        <v>1.4164534361808387E-3</v>
      </c>
      <c r="P17">
        <v>1.4085267998136738E-3</v>
      </c>
      <c r="Q17">
        <v>1.4116213851338268E-3</v>
      </c>
      <c r="R17">
        <v>2.075555248150705E-3</v>
      </c>
      <c r="S17">
        <v>1.3953349691671277E-3</v>
      </c>
      <c r="T17">
        <v>1.399090894019921E-3</v>
      </c>
      <c r="U17">
        <v>1.4133615474430108E-3</v>
      </c>
      <c r="V17">
        <v>1.4128652697130441E-3</v>
      </c>
      <c r="W17">
        <v>1.4111750956448854E-3</v>
      </c>
      <c r="X17">
        <v>1.41543217119171E-3</v>
      </c>
      <c r="Y17">
        <v>-3.2194632492548174E-6</v>
      </c>
      <c r="Z17">
        <v>-2.5080013278612121E-6</v>
      </c>
      <c r="AA17">
        <v>1.3859875351287932E-6</v>
      </c>
      <c r="AB17">
        <v>5.4475920432411331E-4</v>
      </c>
      <c r="AC17">
        <v>6.5405557375067312E-4</v>
      </c>
      <c r="AD17">
        <v>4.1248373517488435E-4</v>
      </c>
      <c r="AE17">
        <v>-1.767188003071702E-3</v>
      </c>
    </row>
    <row r="18" spans="1:31" x14ac:dyDescent="0.2">
      <c r="A18" t="s">
        <v>90</v>
      </c>
      <c r="B18">
        <v>-0.12467514908057314</v>
      </c>
      <c r="C18">
        <v>-2.9787806080035099E-5</v>
      </c>
      <c r="D18">
        <v>1.674942417958997E-6</v>
      </c>
      <c r="E18">
        <v>-2.111356684879578E-5</v>
      </c>
      <c r="F18">
        <v>-6.0722566736020613E-5</v>
      </c>
      <c r="G18">
        <v>1.5188228769468247E-4</v>
      </c>
      <c r="H18">
        <v>2.6601940062131896E-5</v>
      </c>
      <c r="I18">
        <v>1.9087509243753928E-4</v>
      </c>
      <c r="J18">
        <v>1.6481603550551453E-6</v>
      </c>
      <c r="K18">
        <v>-7.8645212059806282E-7</v>
      </c>
      <c r="L18">
        <v>2.8502179670654825E-5</v>
      </c>
      <c r="M18">
        <v>8.3220062763424872E-6</v>
      </c>
      <c r="N18">
        <v>1.4228371418026702E-3</v>
      </c>
      <c r="O18">
        <v>1.4254555818328852E-3</v>
      </c>
      <c r="P18">
        <v>1.4106137154985177E-3</v>
      </c>
      <c r="Q18">
        <v>1.4145002371879478E-3</v>
      </c>
      <c r="R18">
        <v>1.3953349691671277E-3</v>
      </c>
      <c r="S18">
        <v>1.974125380986123E-3</v>
      </c>
      <c r="T18">
        <v>1.4011097598949237E-3</v>
      </c>
      <c r="U18">
        <v>1.4132276978879091E-3</v>
      </c>
      <c r="V18">
        <v>1.4141194697264148E-3</v>
      </c>
      <c r="W18">
        <v>1.4130271496192782E-3</v>
      </c>
      <c r="X18">
        <v>1.4159022955221516E-3</v>
      </c>
      <c r="Y18">
        <v>-3.6972036239293993E-6</v>
      </c>
      <c r="Z18">
        <v>-1.4584058448537027E-5</v>
      </c>
      <c r="AA18">
        <v>-9.9565070490435645E-6</v>
      </c>
      <c r="AB18">
        <v>5.7625922342228206E-4</v>
      </c>
      <c r="AC18">
        <v>6.9608748286429485E-4</v>
      </c>
      <c r="AD18">
        <v>2.5620123224875675E-4</v>
      </c>
      <c r="AE18">
        <v>-1.7079058708668264E-3</v>
      </c>
    </row>
    <row r="19" spans="1:31" x14ac:dyDescent="0.2">
      <c r="A19" t="s">
        <v>91</v>
      </c>
      <c r="B19">
        <v>-3.8492589906147366E-2</v>
      </c>
      <c r="C19">
        <v>7.1187079229131598E-6</v>
      </c>
      <c r="D19">
        <v>1.447608230467214E-6</v>
      </c>
      <c r="E19">
        <v>8.1430608731918562E-6</v>
      </c>
      <c r="F19">
        <v>-5.5795218947224097E-5</v>
      </c>
      <c r="G19">
        <v>1.2509810968008432E-4</v>
      </c>
      <c r="H19">
        <v>3.4621227400628438E-5</v>
      </c>
      <c r="I19">
        <v>2.2957269117349907E-4</v>
      </c>
      <c r="J19">
        <v>1.2180892588011128E-6</v>
      </c>
      <c r="K19">
        <v>5.9300579551506806E-7</v>
      </c>
      <c r="L19">
        <v>1.9186959460773041E-5</v>
      </c>
      <c r="M19">
        <v>3.650039056960183E-6</v>
      </c>
      <c r="N19">
        <v>1.4280613953397544E-3</v>
      </c>
      <c r="O19">
        <v>1.4187529197763934E-3</v>
      </c>
      <c r="P19">
        <v>1.4146177830299434E-3</v>
      </c>
      <c r="Q19">
        <v>1.4194168411746583E-3</v>
      </c>
      <c r="R19">
        <v>1.399090894019921E-3</v>
      </c>
      <c r="S19">
        <v>1.4011097598949237E-3</v>
      </c>
      <c r="T19">
        <v>1.8345768128320188E-3</v>
      </c>
      <c r="U19">
        <v>1.4191402466896459E-3</v>
      </c>
      <c r="V19">
        <v>1.4184233026981801E-3</v>
      </c>
      <c r="W19">
        <v>1.4192324446656586E-3</v>
      </c>
      <c r="X19">
        <v>1.4184305503526869E-3</v>
      </c>
      <c r="Y19">
        <v>-2.8064361829578148E-6</v>
      </c>
      <c r="Z19">
        <v>-6.5308166425235632E-6</v>
      </c>
      <c r="AA19">
        <v>-7.0614740428253105E-6</v>
      </c>
      <c r="AB19">
        <v>6.2465184533011401E-4</v>
      </c>
      <c r="AC19">
        <v>7.263471994033413E-4</v>
      </c>
      <c r="AD19">
        <v>2.7712385551121249E-4</v>
      </c>
      <c r="AE19">
        <v>-1.7041793467063404E-3</v>
      </c>
    </row>
    <row r="20" spans="1:31" x14ac:dyDescent="0.2">
      <c r="A20" t="s">
        <v>92</v>
      </c>
      <c r="B20">
        <v>-0.12206767108776834</v>
      </c>
      <c r="C20">
        <v>-1.6823096073130528E-5</v>
      </c>
      <c r="D20">
        <v>2.0313024601828638E-6</v>
      </c>
      <c r="E20">
        <v>1.3637526423532605E-5</v>
      </c>
      <c r="F20">
        <v>-4.9056674950384495E-5</v>
      </c>
      <c r="G20">
        <v>1.6503522990122079E-4</v>
      </c>
      <c r="H20">
        <v>1.7882683422039815E-5</v>
      </c>
      <c r="I20">
        <v>2.3032339022754838E-4</v>
      </c>
      <c r="J20">
        <v>1.5888113850712872E-6</v>
      </c>
      <c r="K20">
        <v>1.0844202807955495E-6</v>
      </c>
      <c r="L20">
        <v>2.0276556787796323E-5</v>
      </c>
      <c r="M20">
        <v>4.4058272793453588E-7</v>
      </c>
      <c r="N20">
        <v>1.4453877161176298E-3</v>
      </c>
      <c r="O20">
        <v>1.4333798812646804E-3</v>
      </c>
      <c r="P20">
        <v>1.428114388126243E-3</v>
      </c>
      <c r="Q20">
        <v>1.4303381579068744E-3</v>
      </c>
      <c r="R20">
        <v>1.4133615474430108E-3</v>
      </c>
      <c r="S20">
        <v>1.4132276978879091E-3</v>
      </c>
      <c r="T20">
        <v>1.4191402466896459E-3</v>
      </c>
      <c r="U20">
        <v>2.0501925682493071E-3</v>
      </c>
      <c r="V20">
        <v>1.432817037936017E-3</v>
      </c>
      <c r="W20">
        <v>1.4339063737017317E-3</v>
      </c>
      <c r="X20">
        <v>1.4353190216919321E-3</v>
      </c>
      <c r="Y20">
        <v>-2.2492594153660788E-6</v>
      </c>
      <c r="Z20">
        <v>-1.0124596702854262E-5</v>
      </c>
      <c r="AA20">
        <v>-1.9017834165809013E-5</v>
      </c>
      <c r="AB20">
        <v>6.3818099007764153E-4</v>
      </c>
      <c r="AC20">
        <v>7.8008126854252151E-4</v>
      </c>
      <c r="AD20">
        <v>2.6808024252380315E-4</v>
      </c>
      <c r="AE20">
        <v>-1.787230417509421E-3</v>
      </c>
    </row>
    <row r="21" spans="1:31" x14ac:dyDescent="0.2">
      <c r="A21" t="s">
        <v>93</v>
      </c>
      <c r="B21">
        <v>-7.8151511384389624E-2</v>
      </c>
      <c r="C21">
        <v>-6.134106595751163E-6</v>
      </c>
      <c r="D21">
        <v>1.5061857483001322E-6</v>
      </c>
      <c r="E21">
        <v>2.6775405982529347E-5</v>
      </c>
      <c r="F21">
        <v>-5.9353184268536681E-5</v>
      </c>
      <c r="G21">
        <v>1.536106200895177E-4</v>
      </c>
      <c r="H21">
        <v>1.1124009972482994E-5</v>
      </c>
      <c r="I21">
        <v>1.8045664096173758E-4</v>
      </c>
      <c r="J21">
        <v>7.564360776536769E-7</v>
      </c>
      <c r="K21">
        <v>-1.6471155361693493E-7</v>
      </c>
      <c r="L21">
        <v>2.6419159007481409E-5</v>
      </c>
      <c r="M21">
        <v>8.5045625642956052E-6</v>
      </c>
      <c r="N21">
        <v>1.4399964220773922E-3</v>
      </c>
      <c r="O21">
        <v>1.4318474255528299E-3</v>
      </c>
      <c r="P21">
        <v>1.4251211618855901E-3</v>
      </c>
      <c r="Q21">
        <v>1.4272926442123646E-3</v>
      </c>
      <c r="R21">
        <v>1.4128652697130441E-3</v>
      </c>
      <c r="S21">
        <v>1.4141194697264148E-3</v>
      </c>
      <c r="T21">
        <v>1.4184233026981801E-3</v>
      </c>
      <c r="U21">
        <v>1.432817037936017E-3</v>
      </c>
      <c r="V21">
        <v>2.2535619200875086E-3</v>
      </c>
      <c r="W21">
        <v>1.4351822802386649E-3</v>
      </c>
      <c r="X21">
        <v>1.4357207118164119E-3</v>
      </c>
      <c r="Y21">
        <v>-1.6635896545960931E-7</v>
      </c>
      <c r="Z21">
        <v>-2.6877232874235534E-5</v>
      </c>
      <c r="AA21">
        <v>-1.7583555880468454E-5</v>
      </c>
      <c r="AB21">
        <v>5.8165530068838417E-4</v>
      </c>
      <c r="AC21">
        <v>7.8037780310288352E-4</v>
      </c>
      <c r="AD21">
        <v>3.1217995683608134E-4</v>
      </c>
      <c r="AE21">
        <v>-1.7735249475843123E-3</v>
      </c>
    </row>
    <row r="22" spans="1:31" x14ac:dyDescent="0.2">
      <c r="A22" t="s">
        <v>94</v>
      </c>
      <c r="B22">
        <v>-8.633524376599272E-2</v>
      </c>
      <c r="C22">
        <v>-1.0221752353656448E-5</v>
      </c>
      <c r="D22">
        <v>2.1262057783812526E-6</v>
      </c>
      <c r="E22">
        <v>-3.8851576109038308E-5</v>
      </c>
      <c r="F22">
        <v>-8.4179073059000779E-5</v>
      </c>
      <c r="G22">
        <v>1.481891511844319E-4</v>
      </c>
      <c r="H22">
        <v>7.3958329970124587E-6</v>
      </c>
      <c r="I22">
        <v>2.1992357693386008E-4</v>
      </c>
      <c r="J22">
        <v>1.2879420939977261E-6</v>
      </c>
      <c r="K22">
        <v>-1.6429607612227108E-6</v>
      </c>
      <c r="L22">
        <v>2.4719156513521854E-5</v>
      </c>
      <c r="M22">
        <v>7.3756466464062888E-6</v>
      </c>
      <c r="N22">
        <v>1.4412420172868865E-3</v>
      </c>
      <c r="O22">
        <v>1.433166084694691E-3</v>
      </c>
      <c r="P22">
        <v>1.4238029276089979E-3</v>
      </c>
      <c r="Q22">
        <v>1.4288946069004626E-3</v>
      </c>
      <c r="R22">
        <v>1.4111750956448854E-3</v>
      </c>
      <c r="S22">
        <v>1.4130271496192782E-3</v>
      </c>
      <c r="T22">
        <v>1.4192324446656586E-3</v>
      </c>
      <c r="U22">
        <v>1.4339063737017317E-3</v>
      </c>
      <c r="V22">
        <v>1.4351822802386649E-3</v>
      </c>
      <c r="W22">
        <v>1.9894094101966901E-3</v>
      </c>
      <c r="X22">
        <v>1.4312341069051644E-3</v>
      </c>
      <c r="Y22">
        <v>-2.4610445942309253E-6</v>
      </c>
      <c r="Z22">
        <v>-1.9229004366813167E-5</v>
      </c>
      <c r="AA22">
        <v>-2.0174567928579531E-5</v>
      </c>
      <c r="AB22">
        <v>6.2325371108326805E-4</v>
      </c>
      <c r="AC22">
        <v>7.7087113101725294E-4</v>
      </c>
      <c r="AD22">
        <v>3.1924186811249595E-4</v>
      </c>
      <c r="AE22">
        <v>-1.6733535486974623E-3</v>
      </c>
    </row>
    <row r="23" spans="1:31" x14ac:dyDescent="0.2">
      <c r="A23" t="s">
        <v>95</v>
      </c>
      <c r="B23">
        <v>3.451759269872804E-2</v>
      </c>
      <c r="C23">
        <v>-2.2769174269359622E-5</v>
      </c>
      <c r="D23">
        <v>2.2020491432596964E-6</v>
      </c>
      <c r="E23">
        <v>-1.846640700795953E-5</v>
      </c>
      <c r="F23">
        <v>-4.9768091075978846E-5</v>
      </c>
      <c r="G23">
        <v>1.274238487372016E-4</v>
      </c>
      <c r="H23">
        <v>-1.2848278401825095E-6</v>
      </c>
      <c r="I23">
        <v>2.1423488015992714E-4</v>
      </c>
      <c r="J23">
        <v>2.0073606037646251E-6</v>
      </c>
      <c r="K23">
        <v>-5.7234564373868143E-8</v>
      </c>
      <c r="L23">
        <v>3.8220464901375152E-5</v>
      </c>
      <c r="M23">
        <v>1.1137224459701089E-5</v>
      </c>
      <c r="N23">
        <v>1.4454556857153595E-3</v>
      </c>
      <c r="O23">
        <v>1.4364326346865217E-3</v>
      </c>
      <c r="P23">
        <v>1.4284135001032296E-3</v>
      </c>
      <c r="Q23">
        <v>1.430455513108162E-3</v>
      </c>
      <c r="R23">
        <v>1.41543217119171E-3</v>
      </c>
      <c r="S23">
        <v>1.4159022955221516E-3</v>
      </c>
      <c r="T23">
        <v>1.4184305503526869E-3</v>
      </c>
      <c r="U23">
        <v>1.4353190216919321E-3</v>
      </c>
      <c r="V23">
        <v>1.4357207118164119E-3</v>
      </c>
      <c r="W23">
        <v>1.4312341069051644E-3</v>
      </c>
      <c r="X23">
        <v>2.1903034120598431E-3</v>
      </c>
      <c r="Y23">
        <v>-5.3063735384052579E-6</v>
      </c>
      <c r="Z23">
        <v>-2.1226244955638885E-5</v>
      </c>
      <c r="AA23">
        <v>-1.7404971674019614E-5</v>
      </c>
      <c r="AB23">
        <v>6.5448833858606982E-4</v>
      </c>
      <c r="AC23">
        <v>7.9886052027299719E-4</v>
      </c>
      <c r="AD23">
        <v>3.2651045680377522E-4</v>
      </c>
      <c r="AE23">
        <v>-1.86805619832003E-3</v>
      </c>
    </row>
    <row r="24" spans="1:31" x14ac:dyDescent="0.2">
      <c r="A24" t="s">
        <v>44</v>
      </c>
      <c r="B24">
        <v>3.399705397936552E-3</v>
      </c>
      <c r="C24">
        <v>3.0641070639162397E-6</v>
      </c>
      <c r="D24">
        <v>-4.5337532585960623E-7</v>
      </c>
      <c r="E24">
        <v>-6.3721009193141374E-6</v>
      </c>
      <c r="F24">
        <v>-5.1757623352080202E-6</v>
      </c>
      <c r="G24">
        <v>-2.9645346299282197E-6</v>
      </c>
      <c r="H24">
        <v>1.6755995027671855E-6</v>
      </c>
      <c r="I24">
        <v>-3.5306478995218561E-6</v>
      </c>
      <c r="J24">
        <v>-2.4732757502914674E-8</v>
      </c>
      <c r="K24">
        <v>1.8663534223806721E-7</v>
      </c>
      <c r="L24">
        <v>-2.1131992519676728E-6</v>
      </c>
      <c r="M24">
        <v>-4.3037960379854958E-7</v>
      </c>
      <c r="N24">
        <v>-4.9705804315626511E-6</v>
      </c>
      <c r="O24">
        <v>-3.4999990725370498E-6</v>
      </c>
      <c r="P24">
        <v>-3.2080890114844019E-6</v>
      </c>
      <c r="Q24">
        <v>-3.173260715433656E-6</v>
      </c>
      <c r="R24">
        <v>-3.2194632492548174E-6</v>
      </c>
      <c r="S24">
        <v>-3.6972036239293993E-6</v>
      </c>
      <c r="T24">
        <v>-2.8064361829578148E-6</v>
      </c>
      <c r="U24">
        <v>-2.2492594153660788E-6</v>
      </c>
      <c r="V24">
        <v>-1.6635896545960931E-7</v>
      </c>
      <c r="W24">
        <v>-2.4610445942309253E-6</v>
      </c>
      <c r="X24">
        <v>-5.3063735384052579E-6</v>
      </c>
      <c r="Y24">
        <v>3.094873265485131E-6</v>
      </c>
      <c r="Z24">
        <v>-6.5200507330571709E-6</v>
      </c>
      <c r="AA24">
        <v>-7.8906321328207338E-6</v>
      </c>
      <c r="AB24">
        <v>-5.3548415045787774E-6</v>
      </c>
      <c r="AC24">
        <v>-6.5423100415394451E-6</v>
      </c>
      <c r="AD24">
        <v>2.6524007956492675E-6</v>
      </c>
      <c r="AE24">
        <v>-6.1352904647969577E-6</v>
      </c>
    </row>
    <row r="25" spans="1:31" x14ac:dyDescent="0.2">
      <c r="A25" t="s">
        <v>45</v>
      </c>
      <c r="B25">
        <v>3.5617599429500726E-2</v>
      </c>
      <c r="C25">
        <v>1.0344346866935373E-5</v>
      </c>
      <c r="D25">
        <v>1.8725759645546043E-7</v>
      </c>
      <c r="E25">
        <v>2.1453540607810267E-5</v>
      </c>
      <c r="F25">
        <v>1.13395229304951E-5</v>
      </c>
      <c r="G25">
        <v>4.6195275154134734E-5</v>
      </c>
      <c r="H25">
        <v>9.195629968467131E-6</v>
      </c>
      <c r="I25">
        <v>7.0920522717091229E-6</v>
      </c>
      <c r="J25">
        <v>1.1814114175081491E-8</v>
      </c>
      <c r="K25">
        <v>-9.4379305004215784E-9</v>
      </c>
      <c r="L25">
        <v>-1.0983730535324558E-6</v>
      </c>
      <c r="M25">
        <v>-2.7557367777468413E-6</v>
      </c>
      <c r="N25">
        <v>1.9909627772850063E-6</v>
      </c>
      <c r="O25">
        <v>-1.3066897603256418E-5</v>
      </c>
      <c r="P25">
        <v>-2.3411532915163933E-5</v>
      </c>
      <c r="Q25">
        <v>-6.0748464563201461E-6</v>
      </c>
      <c r="R25">
        <v>-2.5080013278612121E-6</v>
      </c>
      <c r="S25">
        <v>-1.4584058448537027E-5</v>
      </c>
      <c r="T25">
        <v>-6.5308166425235632E-6</v>
      </c>
      <c r="U25">
        <v>-1.0124596702854262E-5</v>
      </c>
      <c r="V25">
        <v>-2.6877232874235534E-5</v>
      </c>
      <c r="W25">
        <v>-1.9229004366813167E-5</v>
      </c>
      <c r="X25">
        <v>-2.1226244955638885E-5</v>
      </c>
      <c r="Y25">
        <v>-6.5200507330571709E-6</v>
      </c>
      <c r="Z25">
        <v>2.0346000040321948E-4</v>
      </c>
      <c r="AA25">
        <v>5.3190606752998631E-5</v>
      </c>
      <c r="AB25">
        <v>1.6187191444243406E-5</v>
      </c>
      <c r="AC25">
        <v>-1.8792784372006181E-5</v>
      </c>
      <c r="AD25">
        <v>-2.3226599433761347E-5</v>
      </c>
      <c r="AE25">
        <v>1.0129947404427991E-4</v>
      </c>
    </row>
    <row r="26" spans="1:31" x14ac:dyDescent="0.2">
      <c r="A26" t="s">
        <v>46</v>
      </c>
      <c r="B26">
        <v>4.2380660518323281E-2</v>
      </c>
      <c r="C26">
        <v>9.9601563111855658E-6</v>
      </c>
      <c r="D26">
        <v>-4.6021122399711279E-7</v>
      </c>
      <c r="E26">
        <v>-1.7834686937511105E-6</v>
      </c>
      <c r="F26">
        <v>3.7964306455379496E-6</v>
      </c>
      <c r="G26">
        <v>-2.990626829078198E-5</v>
      </c>
      <c r="H26">
        <v>9.1421768470924747E-6</v>
      </c>
      <c r="I26">
        <v>2.3180430235991939E-5</v>
      </c>
      <c r="J26">
        <v>-2.2816622200794418E-7</v>
      </c>
      <c r="K26">
        <v>-3.2010750479833048E-7</v>
      </c>
      <c r="L26">
        <v>1.6295404098221858E-6</v>
      </c>
      <c r="M26">
        <v>-2.3709584826558904E-6</v>
      </c>
      <c r="N26">
        <v>-5.6649678835948438E-6</v>
      </c>
      <c r="O26">
        <v>-5.272705697996465E-6</v>
      </c>
      <c r="P26">
        <v>-1.7039587189195857E-5</v>
      </c>
      <c r="Q26">
        <v>1.8472831821419913E-5</v>
      </c>
      <c r="R26">
        <v>1.3859875351287932E-6</v>
      </c>
      <c r="S26">
        <v>-9.9565070490435645E-6</v>
      </c>
      <c r="T26">
        <v>-7.0614740428253105E-6</v>
      </c>
      <c r="U26">
        <v>-1.9017834165809013E-5</v>
      </c>
      <c r="V26">
        <v>-1.7583555880468454E-5</v>
      </c>
      <c r="W26">
        <v>-2.0174567928579531E-5</v>
      </c>
      <c r="X26">
        <v>-1.7404971674019614E-5</v>
      </c>
      <c r="Y26">
        <v>-7.8906321328207338E-6</v>
      </c>
      <c r="Z26">
        <v>5.3190606752998631E-5</v>
      </c>
      <c r="AA26">
        <v>2.2933731831827832E-4</v>
      </c>
      <c r="AB26">
        <v>-6.3698705076628537E-6</v>
      </c>
      <c r="AC26">
        <v>-2.2623311845842867E-6</v>
      </c>
      <c r="AD26">
        <v>-2.3022440029784282E-5</v>
      </c>
      <c r="AE26">
        <v>1.8284706396524313E-4</v>
      </c>
    </row>
    <row r="27" spans="1:31" x14ac:dyDescent="0.2">
      <c r="A27" t="s">
        <v>98</v>
      </c>
      <c r="B27">
        <v>2.8084077149471438E-2</v>
      </c>
      <c r="C27">
        <v>-3.7640973150707477E-5</v>
      </c>
      <c r="D27">
        <v>2.4411877517804982E-6</v>
      </c>
      <c r="E27">
        <v>-9.1342548692131505E-5</v>
      </c>
      <c r="F27">
        <v>-2.1842701993847219E-5</v>
      </c>
      <c r="G27">
        <v>-1.9853634743925328E-4</v>
      </c>
      <c r="H27">
        <v>1.7614117265541432E-5</v>
      </c>
      <c r="I27">
        <v>-1.0919631609601242E-4</v>
      </c>
      <c r="J27">
        <v>2.4238787324867663E-6</v>
      </c>
      <c r="K27">
        <v>2.0887473427900776E-6</v>
      </c>
      <c r="L27">
        <v>3.0688158940137095E-5</v>
      </c>
      <c r="M27">
        <v>1.2397040205756395E-5</v>
      </c>
      <c r="N27">
        <v>6.5615577062117197E-4</v>
      </c>
      <c r="O27">
        <v>6.2252737946588395E-4</v>
      </c>
      <c r="P27">
        <v>6.1022655007849291E-4</v>
      </c>
      <c r="Q27">
        <v>5.872787992015141E-4</v>
      </c>
      <c r="R27">
        <v>5.4475920432411331E-4</v>
      </c>
      <c r="S27">
        <v>5.7625922342228206E-4</v>
      </c>
      <c r="T27">
        <v>6.2465184533011401E-4</v>
      </c>
      <c r="U27">
        <v>6.3818099007764153E-4</v>
      </c>
      <c r="V27">
        <v>5.8165530068838417E-4</v>
      </c>
      <c r="W27">
        <v>6.2325371108326805E-4</v>
      </c>
      <c r="X27">
        <v>6.5448833858606982E-4</v>
      </c>
      <c r="Y27">
        <v>-5.3548415045787774E-6</v>
      </c>
      <c r="Z27">
        <v>1.6187191444243406E-5</v>
      </c>
      <c r="AA27">
        <v>-6.3698705076628537E-6</v>
      </c>
      <c r="AB27">
        <v>3.7243640515321639E-3</v>
      </c>
      <c r="AC27">
        <v>3.8589322021135571E-4</v>
      </c>
      <c r="AD27">
        <v>2.044790893090682E-4</v>
      </c>
      <c r="AE27">
        <v>-1.1882453408445454E-3</v>
      </c>
    </row>
    <row r="28" spans="1:31" x14ac:dyDescent="0.2">
      <c r="A28" t="s">
        <v>99</v>
      </c>
      <c r="B28">
        <v>-0.10174476549231021</v>
      </c>
      <c r="C28">
        <v>5.2110357712918952E-5</v>
      </c>
      <c r="D28">
        <v>2.1930898706050417E-6</v>
      </c>
      <c r="E28">
        <v>8.6703168867664873E-5</v>
      </c>
      <c r="F28">
        <v>-4.6155373235957421E-6</v>
      </c>
      <c r="G28">
        <v>-8.6536497194271661E-5</v>
      </c>
      <c r="H28">
        <v>-4.1056805061457326E-6</v>
      </c>
      <c r="I28">
        <v>-6.2871497281627594E-5</v>
      </c>
      <c r="J28">
        <v>-6.2531526509082943E-8</v>
      </c>
      <c r="K28">
        <v>-1.1347376891668656E-7</v>
      </c>
      <c r="L28">
        <v>3.2943958853894301E-5</v>
      </c>
      <c r="M28">
        <v>9.823114944236235E-6</v>
      </c>
      <c r="N28">
        <v>7.8053635852653894E-4</v>
      </c>
      <c r="O28">
        <v>7.6664131971453673E-4</v>
      </c>
      <c r="P28">
        <v>7.6098287727569035E-4</v>
      </c>
      <c r="Q28">
        <v>7.752749659908413E-4</v>
      </c>
      <c r="R28">
        <v>6.5405557375067312E-4</v>
      </c>
      <c r="S28">
        <v>6.9608748286429485E-4</v>
      </c>
      <c r="T28">
        <v>7.263471994033413E-4</v>
      </c>
      <c r="U28">
        <v>7.8008126854252151E-4</v>
      </c>
      <c r="V28">
        <v>7.8037780310288352E-4</v>
      </c>
      <c r="W28">
        <v>7.7087113101725294E-4</v>
      </c>
      <c r="X28">
        <v>7.9886052027299719E-4</v>
      </c>
      <c r="Y28">
        <v>-6.5423100415394451E-6</v>
      </c>
      <c r="Z28">
        <v>-1.8792784372006181E-5</v>
      </c>
      <c r="AA28">
        <v>-2.2623311845842867E-6</v>
      </c>
      <c r="AB28">
        <v>3.8589322021135571E-4</v>
      </c>
      <c r="AC28">
        <v>8.2782812166008295E-3</v>
      </c>
      <c r="AD28">
        <v>2.0674692128938273E-4</v>
      </c>
      <c r="AE28">
        <v>-1.1482462244966744E-3</v>
      </c>
    </row>
    <row r="29" spans="1:31" x14ac:dyDescent="0.2">
      <c r="A29" t="s">
        <v>100</v>
      </c>
      <c r="B29">
        <v>3.127540675245135E-2</v>
      </c>
      <c r="C29">
        <v>-2.0209367756970868E-5</v>
      </c>
      <c r="D29">
        <v>2.2742758196061334E-6</v>
      </c>
      <c r="E29">
        <v>-1.1550260095256223E-4</v>
      </c>
      <c r="F29">
        <v>-8.8162745571048503E-5</v>
      </c>
      <c r="G29">
        <v>1.0922263669790747E-4</v>
      </c>
      <c r="H29">
        <v>1.010171918349698E-5</v>
      </c>
      <c r="I29">
        <v>7.7949604568735903E-5</v>
      </c>
      <c r="J29">
        <v>1.8051533189501215E-6</v>
      </c>
      <c r="K29">
        <v>1.4222275661005114E-6</v>
      </c>
      <c r="L29">
        <v>2.4849571952355322E-5</v>
      </c>
      <c r="M29">
        <v>1.149500044163259E-5</v>
      </c>
      <c r="N29">
        <v>3.534819592949164E-4</v>
      </c>
      <c r="O29">
        <v>3.2146591072470138E-4</v>
      </c>
      <c r="P29">
        <v>2.1765700459944946E-4</v>
      </c>
      <c r="Q29">
        <v>3.062740757680619E-4</v>
      </c>
      <c r="R29">
        <v>4.1248373517488435E-4</v>
      </c>
      <c r="S29">
        <v>2.5620123224875675E-4</v>
      </c>
      <c r="T29">
        <v>2.7712385551121249E-4</v>
      </c>
      <c r="U29">
        <v>2.6808024252380315E-4</v>
      </c>
      <c r="V29">
        <v>3.1217995683608134E-4</v>
      </c>
      <c r="W29">
        <v>3.1924186811249595E-4</v>
      </c>
      <c r="X29">
        <v>3.2651045680377522E-4</v>
      </c>
      <c r="Y29">
        <v>2.6524007956492675E-6</v>
      </c>
      <c r="Z29">
        <v>-2.3226599433761347E-5</v>
      </c>
      <c r="AA29">
        <v>-2.3022440029784282E-5</v>
      </c>
      <c r="AB29">
        <v>2.044790893090682E-4</v>
      </c>
      <c r="AC29">
        <v>2.0674692128938273E-4</v>
      </c>
      <c r="AD29">
        <v>7.3115779102677783E-3</v>
      </c>
      <c r="AE29">
        <v>-8.7761498615086678E-4</v>
      </c>
    </row>
    <row r="30" spans="1:31" x14ac:dyDescent="0.2">
      <c r="A30" t="s">
        <v>47</v>
      </c>
      <c r="B30">
        <v>4.3262399424390008</v>
      </c>
      <c r="C30">
        <v>1.5869599755382357E-4</v>
      </c>
      <c r="D30">
        <v>-7.6796685351664378E-5</v>
      </c>
      <c r="E30">
        <v>-9.006030890457606E-6</v>
      </c>
      <c r="F30">
        <v>-8.0648320571140384E-5</v>
      </c>
      <c r="G30">
        <v>-8.7994525724365718E-4</v>
      </c>
      <c r="H30">
        <v>5.5368629414293447E-5</v>
      </c>
      <c r="I30">
        <v>-8.4233225498776473E-4</v>
      </c>
      <c r="J30">
        <v>-2.957167108925359E-5</v>
      </c>
      <c r="K30">
        <v>-2.7947113088241905E-5</v>
      </c>
      <c r="L30">
        <v>-2.4909434774758414E-4</v>
      </c>
      <c r="M30">
        <v>-6.1506505776620283E-5</v>
      </c>
      <c r="N30">
        <v>-1.9959460817008511E-3</v>
      </c>
      <c r="O30">
        <v>-1.8542973791717181E-3</v>
      </c>
      <c r="P30">
        <v>-1.8328756963976629E-3</v>
      </c>
      <c r="Q30">
        <v>-1.6301420529743408E-3</v>
      </c>
      <c r="R30">
        <v>-1.767188003071702E-3</v>
      </c>
      <c r="S30">
        <v>-1.7079058708668264E-3</v>
      </c>
      <c r="T30">
        <v>-1.7041793467063404E-3</v>
      </c>
      <c r="U30">
        <v>-1.787230417509421E-3</v>
      </c>
      <c r="V30">
        <v>-1.7735249475843123E-3</v>
      </c>
      <c r="W30">
        <v>-1.6733535486974623E-3</v>
      </c>
      <c r="X30">
        <v>-1.86805619832003E-3</v>
      </c>
      <c r="Y30">
        <v>-6.1352904647969577E-6</v>
      </c>
      <c r="Z30">
        <v>1.0129947404427991E-4</v>
      </c>
      <c r="AA30">
        <v>1.8284706396524313E-4</v>
      </c>
      <c r="AB30">
        <v>-1.1882453408445454E-3</v>
      </c>
      <c r="AC30">
        <v>-1.1482462244966744E-3</v>
      </c>
      <c r="AD30">
        <v>-8.7761498615086678E-4</v>
      </c>
      <c r="AE30">
        <v>1.2289088377038685E-2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E30"/>
  <sheetViews>
    <sheetView workbookViewId="0"/>
  </sheetViews>
  <sheetFormatPr baseColWidth="10" defaultColWidth="8.83203125" defaultRowHeight="15" x14ac:dyDescent="0.2"/>
  <sheetData>
    <row r="1" spans="1:31" x14ac:dyDescent="0.2">
      <c r="A1" t="s">
        <v>19</v>
      </c>
      <c r="B1" t="s">
        <v>20</v>
      </c>
      <c r="C1" t="s">
        <v>22</v>
      </c>
      <c r="D1" t="s">
        <v>59</v>
      </c>
      <c r="E1" t="s">
        <v>53</v>
      </c>
      <c r="F1" t="s">
        <v>37</v>
      </c>
      <c r="G1" t="s">
        <v>39</v>
      </c>
      <c r="H1" t="s">
        <v>41</v>
      </c>
      <c r="I1" t="s">
        <v>42</v>
      </c>
      <c r="J1" t="s">
        <v>43</v>
      </c>
      <c r="K1" t="s">
        <v>25</v>
      </c>
      <c r="L1" t="s">
        <v>26</v>
      </c>
      <c r="M1" t="s">
        <v>60</v>
      </c>
      <c r="N1" t="s">
        <v>85</v>
      </c>
      <c r="O1" t="s">
        <v>86</v>
      </c>
      <c r="P1" t="s">
        <v>87</v>
      </c>
      <c r="Q1" t="s">
        <v>88</v>
      </c>
      <c r="R1" t="s">
        <v>89</v>
      </c>
      <c r="S1" t="s">
        <v>90</v>
      </c>
      <c r="T1" t="s">
        <v>91</v>
      </c>
      <c r="U1" t="s">
        <v>92</v>
      </c>
      <c r="V1" t="s">
        <v>93</v>
      </c>
      <c r="W1" t="s">
        <v>94</v>
      </c>
      <c r="X1" t="s">
        <v>95</v>
      </c>
      <c r="Y1" t="s">
        <v>44</v>
      </c>
      <c r="Z1" t="s">
        <v>45</v>
      </c>
      <c r="AA1" t="s">
        <v>46</v>
      </c>
      <c r="AB1" t="s">
        <v>98</v>
      </c>
      <c r="AC1" t="s">
        <v>99</v>
      </c>
      <c r="AD1" t="s">
        <v>100</v>
      </c>
      <c r="AE1" t="s">
        <v>47</v>
      </c>
    </row>
    <row r="2" spans="1:31" x14ac:dyDescent="0.2">
      <c r="A2" t="s">
        <v>22</v>
      </c>
      <c r="B2">
        <v>0.35383795706371352</v>
      </c>
      <c r="C2">
        <v>6.6650443072365628E-3</v>
      </c>
      <c r="D2">
        <v>1.4796695380765463E-4</v>
      </c>
      <c r="E2">
        <v>1.4096413198381396E-3</v>
      </c>
      <c r="F2">
        <v>8.645188353264985E-4</v>
      </c>
      <c r="G2">
        <v>4.6142078480438406E-4</v>
      </c>
      <c r="H2">
        <v>-1.5188092522235627E-3</v>
      </c>
      <c r="I2">
        <v>8.5462709805911904E-4</v>
      </c>
      <c r="J2">
        <v>3.3884372095265925E-4</v>
      </c>
      <c r="K2">
        <v>3.673530340371437E-5</v>
      </c>
      <c r="L2">
        <v>-1.9138151699126854E-5</v>
      </c>
      <c r="M2">
        <v>-3.9617751019052622E-5</v>
      </c>
      <c r="N2">
        <v>1.4772122542767053E-4</v>
      </c>
      <c r="O2">
        <v>-7.6708561412617204E-4</v>
      </c>
      <c r="P2">
        <v>-3.6345524771142217E-4</v>
      </c>
      <c r="Q2">
        <v>-1.2996608193042904E-3</v>
      </c>
      <c r="R2">
        <v>-1.4385867940101881E-3</v>
      </c>
      <c r="S2">
        <v>-1.1264501274798461E-3</v>
      </c>
      <c r="T2">
        <v>-5.9741982798994513E-4</v>
      </c>
      <c r="U2">
        <v>-5.824017694866959E-4</v>
      </c>
      <c r="V2">
        <v>-9.7035459270422304E-4</v>
      </c>
      <c r="W2">
        <v>-1.4659934106741007E-3</v>
      </c>
      <c r="X2">
        <v>-1.2112653202903021E-3</v>
      </c>
      <c r="Y2">
        <v>1.1090626607253165E-4</v>
      </c>
      <c r="Z2">
        <v>-6.4681663828254686E-4</v>
      </c>
      <c r="AA2">
        <v>2.0169603174773163E-4</v>
      </c>
      <c r="AB2">
        <v>3.723117740708897E-4</v>
      </c>
      <c r="AC2">
        <v>4.8357832236665802E-4</v>
      </c>
      <c r="AD2">
        <v>-2.018643409382139E-3</v>
      </c>
      <c r="AE2">
        <v>-5.3601843944843181E-3</v>
      </c>
    </row>
    <row r="3" spans="1:31" x14ac:dyDescent="0.2">
      <c r="A3" t="s">
        <v>59</v>
      </c>
      <c r="B3">
        <v>0.21625282313097285</v>
      </c>
      <c r="C3">
        <v>1.4796695380765463E-4</v>
      </c>
      <c r="D3">
        <v>7.2279169399941997E-3</v>
      </c>
      <c r="E3">
        <v>1.4377996320011218E-3</v>
      </c>
      <c r="F3">
        <v>1.6699542133366025E-3</v>
      </c>
      <c r="G3">
        <v>1.3479871355391135E-3</v>
      </c>
      <c r="H3">
        <v>1.0191149507753658E-3</v>
      </c>
      <c r="I3">
        <v>-5.6838727385175665E-4</v>
      </c>
      <c r="J3">
        <v>-1.2013195350039623E-3</v>
      </c>
      <c r="K3">
        <v>5.7541408124658011E-6</v>
      </c>
      <c r="L3">
        <v>-5.917442312370758E-5</v>
      </c>
      <c r="M3">
        <v>4.8347326257845396E-5</v>
      </c>
      <c r="N3">
        <v>2.9064105868807839E-3</v>
      </c>
      <c r="O3">
        <v>1.2854829718092864E-3</v>
      </c>
      <c r="P3">
        <v>2.1307849538344209E-3</v>
      </c>
      <c r="Q3">
        <v>1.421032434581789E-3</v>
      </c>
      <c r="R3">
        <v>1.2580378971168836E-3</v>
      </c>
      <c r="S3">
        <v>1.1508797758215858E-3</v>
      </c>
      <c r="T3">
        <v>8.5809690039237267E-4</v>
      </c>
      <c r="U3">
        <v>1.286718898846149E-3</v>
      </c>
      <c r="V3">
        <v>1.798676590966301E-3</v>
      </c>
      <c r="W3">
        <v>1.5612546172892395E-3</v>
      </c>
      <c r="X3">
        <v>1.7701464441010487E-3</v>
      </c>
      <c r="Y3">
        <v>1.0366462666700318E-4</v>
      </c>
      <c r="Z3">
        <v>4.0398948472132297E-4</v>
      </c>
      <c r="AA3">
        <v>1.0420391998900835E-3</v>
      </c>
      <c r="AB3">
        <v>2.5217783552886541E-5</v>
      </c>
      <c r="AC3">
        <v>2.4760832969318411E-3</v>
      </c>
      <c r="AD3">
        <v>-5.644578806073392E-4</v>
      </c>
      <c r="AE3">
        <v>-6.1648113873944074E-3</v>
      </c>
    </row>
    <row r="4" spans="1:31" x14ac:dyDescent="0.2">
      <c r="A4" t="s">
        <v>53</v>
      </c>
      <c r="B4">
        <v>0.79410640300768798</v>
      </c>
      <c r="C4">
        <v>1.4096413198381396E-3</v>
      </c>
      <c r="D4">
        <v>1.4377996320011218E-3</v>
      </c>
      <c r="E4">
        <v>1.3747063146241479E-2</v>
      </c>
      <c r="F4">
        <v>6.7119725552944771E-3</v>
      </c>
      <c r="G4">
        <v>1.2573401315854526E-3</v>
      </c>
      <c r="H4">
        <v>-8.3549109454236227E-4</v>
      </c>
      <c r="I4">
        <v>4.9667440642897761E-4</v>
      </c>
      <c r="J4">
        <v>-1.3027514955097751E-4</v>
      </c>
      <c r="K4">
        <v>-4.2890632363245092E-5</v>
      </c>
      <c r="L4">
        <v>-3.3635431914668339E-6</v>
      </c>
      <c r="M4">
        <v>-9.4084818755373845E-5</v>
      </c>
      <c r="N4">
        <v>-3.5906863639366708E-4</v>
      </c>
      <c r="O4">
        <v>-1.2381464190400438E-3</v>
      </c>
      <c r="P4">
        <v>-2.0256890336503683E-4</v>
      </c>
      <c r="Q4">
        <v>-9.3173845638645195E-4</v>
      </c>
      <c r="R4">
        <v>-7.5293934578947626E-4</v>
      </c>
      <c r="S4">
        <v>-1.4961011088904794E-3</v>
      </c>
      <c r="T4">
        <v>-1.2713950761271521E-3</v>
      </c>
      <c r="U4">
        <v>-1.0426950870062754E-3</v>
      </c>
      <c r="V4">
        <v>-4.0248759463005221E-4</v>
      </c>
      <c r="W4">
        <v>-1.2595874730771802E-3</v>
      </c>
      <c r="X4">
        <v>-3.8488614739284497E-4</v>
      </c>
      <c r="Y4">
        <v>-8.0327096535093089E-5</v>
      </c>
      <c r="Z4">
        <v>5.1251635515520816E-4</v>
      </c>
      <c r="AA4">
        <v>-2.4636037019768522E-4</v>
      </c>
      <c r="AB4">
        <v>-1.6321297019726748E-3</v>
      </c>
      <c r="AC4">
        <v>8.653255770110054E-4</v>
      </c>
      <c r="AD4">
        <v>-1.4580143858035667E-3</v>
      </c>
      <c r="AE4">
        <v>-2.8090171653942079E-3</v>
      </c>
    </row>
    <row r="5" spans="1:31" x14ac:dyDescent="0.2">
      <c r="A5" t="s">
        <v>37</v>
      </c>
      <c r="B5">
        <v>0.60458273404654383</v>
      </c>
      <c r="C5">
        <v>8.645188353264985E-4</v>
      </c>
      <c r="D5">
        <v>1.6699542133366025E-3</v>
      </c>
      <c r="E5">
        <v>6.7119725552944771E-3</v>
      </c>
      <c r="F5">
        <v>9.4651353459574115E-3</v>
      </c>
      <c r="G5">
        <v>5.4565994041535918E-4</v>
      </c>
      <c r="H5">
        <v>-1.073163251163699E-4</v>
      </c>
      <c r="I5">
        <v>1.4187576388229739E-5</v>
      </c>
      <c r="J5">
        <v>-1.0609640373926382E-3</v>
      </c>
      <c r="K5">
        <v>-2.5871873079282716E-5</v>
      </c>
      <c r="L5">
        <v>-3.2082984016124364E-5</v>
      </c>
      <c r="M5">
        <v>-3.4072950933626366E-5</v>
      </c>
      <c r="N5">
        <v>-1.1677392857106111E-4</v>
      </c>
      <c r="O5">
        <v>-4.6094353141549506E-4</v>
      </c>
      <c r="P5">
        <v>-2.784096938666194E-4</v>
      </c>
      <c r="Q5">
        <v>2.0303398867806133E-5</v>
      </c>
      <c r="R5">
        <v>-2.4880700030248414E-4</v>
      </c>
      <c r="S5">
        <v>-3.8577260674331091E-4</v>
      </c>
      <c r="T5">
        <v>-9.9558240433822269E-4</v>
      </c>
      <c r="U5">
        <v>-6.0340469453766445E-4</v>
      </c>
      <c r="V5">
        <v>-2.681633677375176E-4</v>
      </c>
      <c r="W5">
        <v>-5.2004210309835198E-4</v>
      </c>
      <c r="X5">
        <v>2.9852358970948976E-4</v>
      </c>
      <c r="Y5">
        <v>-5.1865907981976829E-5</v>
      </c>
      <c r="Z5">
        <v>-1.5365798966056397E-4</v>
      </c>
      <c r="AA5">
        <v>-1.8351524443164027E-5</v>
      </c>
      <c r="AB5">
        <v>-1.2114965120788674E-4</v>
      </c>
      <c r="AC5">
        <v>1.2210820356455711E-4</v>
      </c>
      <c r="AD5">
        <v>-1.6731959814989034E-3</v>
      </c>
      <c r="AE5">
        <v>-3.1110007212266531E-3</v>
      </c>
    </row>
    <row r="6" spans="1:31" x14ac:dyDescent="0.2">
      <c r="A6" t="s">
        <v>39</v>
      </c>
      <c r="B6">
        <v>-1.167351487813415</v>
      </c>
      <c r="C6">
        <v>4.6142078480438406E-4</v>
      </c>
      <c r="D6">
        <v>1.3479871355391135E-3</v>
      </c>
      <c r="E6">
        <v>1.2573401315854526E-3</v>
      </c>
      <c r="F6">
        <v>5.4565994041535918E-4</v>
      </c>
      <c r="G6">
        <v>1.0333997687812027E-2</v>
      </c>
      <c r="H6">
        <v>-3.5356808390436464E-5</v>
      </c>
      <c r="I6">
        <v>-1.1588835785661692E-3</v>
      </c>
      <c r="J6">
        <v>-1.5868141698773038E-3</v>
      </c>
      <c r="K6">
        <v>1.1975281135467657E-4</v>
      </c>
      <c r="L6">
        <v>9.4471121148073504E-5</v>
      </c>
      <c r="M6">
        <v>6.5412693435608279E-6</v>
      </c>
      <c r="N6">
        <v>-1.1019826787864936E-3</v>
      </c>
      <c r="O6">
        <v>-7.7783414438963201E-4</v>
      </c>
      <c r="P6">
        <v>-1.1911745398581865E-3</v>
      </c>
      <c r="Q6">
        <v>-4.9450681600591694E-4</v>
      </c>
      <c r="R6">
        <v>-3.8680277424980088E-4</v>
      </c>
      <c r="S6">
        <v>-7.1116421831667748E-4</v>
      </c>
      <c r="T6">
        <v>-6.1992646127233264E-4</v>
      </c>
      <c r="U6">
        <v>-6.2480277410365253E-4</v>
      </c>
      <c r="V6">
        <v>-2.5101501714181428E-4</v>
      </c>
      <c r="W6">
        <v>-1.0136201022767658E-3</v>
      </c>
      <c r="X6">
        <v>-6.7081184716893255E-4</v>
      </c>
      <c r="Y6">
        <v>-1.9569499723212994E-6</v>
      </c>
      <c r="Z6">
        <v>5.9178246688095307E-4</v>
      </c>
      <c r="AA6">
        <v>3.2814852203348475E-4</v>
      </c>
      <c r="AB6">
        <v>-1.7669226632702141E-3</v>
      </c>
      <c r="AC6">
        <v>-2.792956729529033E-4</v>
      </c>
      <c r="AD6">
        <v>-1.2533875640398625E-3</v>
      </c>
      <c r="AE6">
        <v>-1.362232855291734E-2</v>
      </c>
    </row>
    <row r="7" spans="1:31" x14ac:dyDescent="0.2">
      <c r="A7" t="s">
        <v>41</v>
      </c>
      <c r="B7">
        <v>7.1977453683099171E-2</v>
      </c>
      <c r="C7">
        <v>-1.5188092522235627E-3</v>
      </c>
      <c r="D7">
        <v>1.0191149507753658E-3</v>
      </c>
      <c r="E7">
        <v>-8.3549109454236227E-4</v>
      </c>
      <c r="F7">
        <v>-1.073163251163699E-4</v>
      </c>
      <c r="G7">
        <v>-3.5356808390436464E-5</v>
      </c>
      <c r="H7">
        <v>5.3292957575046832E-2</v>
      </c>
      <c r="I7">
        <v>1.7933572902584045E-3</v>
      </c>
      <c r="J7">
        <v>1.9553707406169225E-3</v>
      </c>
      <c r="K7">
        <v>-2.7012031453335933E-5</v>
      </c>
      <c r="L7">
        <v>3.8377401375203414E-5</v>
      </c>
      <c r="M7">
        <v>-6.9365727498974593E-6</v>
      </c>
      <c r="N7">
        <v>2.5402372177803501E-3</v>
      </c>
      <c r="O7">
        <v>2.9608869597252492E-3</v>
      </c>
      <c r="P7">
        <v>2.4998468177617026E-3</v>
      </c>
      <c r="Q7">
        <v>2.3889798362452899E-3</v>
      </c>
      <c r="R7">
        <v>1.9166356675014719E-3</v>
      </c>
      <c r="S7">
        <v>2.0087588685383804E-3</v>
      </c>
      <c r="T7">
        <v>2.2213670589195439E-3</v>
      </c>
      <c r="U7">
        <v>3.354902816933447E-3</v>
      </c>
      <c r="V7">
        <v>1.9756600874571784E-3</v>
      </c>
      <c r="W7">
        <v>2.3337128736393787E-3</v>
      </c>
      <c r="X7">
        <v>2.2844993269157377E-3</v>
      </c>
      <c r="Y7">
        <v>5.2164999695679154E-6</v>
      </c>
      <c r="Z7">
        <v>1.9501763014155961E-4</v>
      </c>
      <c r="AA7">
        <v>-6.4688032176739101E-4</v>
      </c>
      <c r="AB7">
        <v>-5.0619835415700639E-3</v>
      </c>
      <c r="AC7">
        <v>1.8197575996036844E-3</v>
      </c>
      <c r="AD7">
        <v>1.3009075990543548E-3</v>
      </c>
      <c r="AE7">
        <v>-4.4001471374490522E-3</v>
      </c>
    </row>
    <row r="8" spans="1:31" x14ac:dyDescent="0.2">
      <c r="A8" t="s">
        <v>42</v>
      </c>
      <c r="B8">
        <v>2.8802886463121936E-2</v>
      </c>
      <c r="C8">
        <v>8.5462709805911904E-4</v>
      </c>
      <c r="D8">
        <v>-5.6838727385175665E-4</v>
      </c>
      <c r="E8">
        <v>4.9667440642897761E-4</v>
      </c>
      <c r="F8">
        <v>1.4187576388229739E-5</v>
      </c>
      <c r="G8">
        <v>-1.1588835785661692E-3</v>
      </c>
      <c r="H8">
        <v>1.7933572902584045E-3</v>
      </c>
      <c r="I8">
        <v>9.1823627346173439E-3</v>
      </c>
      <c r="J8">
        <v>3.2380855196687138E-3</v>
      </c>
      <c r="K8">
        <v>3.4343536131709503E-5</v>
      </c>
      <c r="L8">
        <v>3.1749198681861779E-5</v>
      </c>
      <c r="M8">
        <v>-8.1743052669760853E-6</v>
      </c>
      <c r="N8">
        <v>-1.4358191524082714E-3</v>
      </c>
      <c r="O8">
        <v>-1.0680956730261624E-3</v>
      </c>
      <c r="P8">
        <v>-1.7956393773064508E-4</v>
      </c>
      <c r="Q8">
        <v>-6.7880911096233378E-4</v>
      </c>
      <c r="R8">
        <v>-3.232676927409253E-4</v>
      </c>
      <c r="S8">
        <v>-6.2293309144055781E-4</v>
      </c>
      <c r="T8">
        <v>-8.8944640149209424E-4</v>
      </c>
      <c r="U8">
        <v>-6.5094445588870231E-4</v>
      </c>
      <c r="V8">
        <v>-5.540149783590893E-4</v>
      </c>
      <c r="W8">
        <v>1.5800580818581223E-4</v>
      </c>
      <c r="X8">
        <v>-6.2502832009025261E-4</v>
      </c>
      <c r="Y8">
        <v>1.2189515250520151E-4</v>
      </c>
      <c r="Z8">
        <v>-8.3827246003347782E-4</v>
      </c>
      <c r="AA8">
        <v>-7.1277165656064229E-4</v>
      </c>
      <c r="AB8">
        <v>1.0367049840395084E-3</v>
      </c>
      <c r="AC8">
        <v>-2.5418085978306023E-3</v>
      </c>
      <c r="AD8">
        <v>-3.3907291678794077E-3</v>
      </c>
      <c r="AE8">
        <v>-6.7741559097199387E-3</v>
      </c>
    </row>
    <row r="9" spans="1:31" x14ac:dyDescent="0.2">
      <c r="A9" t="s">
        <v>43</v>
      </c>
      <c r="B9">
        <v>0.25579165508003504</v>
      </c>
      <c r="C9">
        <v>3.3884372095265925E-4</v>
      </c>
      <c r="D9">
        <v>-1.2013195350039623E-3</v>
      </c>
      <c r="E9">
        <v>-1.3027514955097751E-4</v>
      </c>
      <c r="F9">
        <v>-1.0609640373926382E-3</v>
      </c>
      <c r="G9">
        <v>-1.5868141698773038E-3</v>
      </c>
      <c r="H9">
        <v>1.9553707406169225E-3</v>
      </c>
      <c r="I9">
        <v>3.2380855196687138E-3</v>
      </c>
      <c r="J9">
        <v>0.25291843104953388</v>
      </c>
      <c r="K9">
        <v>1.1007286572033018E-4</v>
      </c>
      <c r="L9">
        <v>7.9819377965472589E-5</v>
      </c>
      <c r="M9">
        <v>1.0707169896805127E-5</v>
      </c>
      <c r="N9">
        <v>3.644244279996801E-3</v>
      </c>
      <c r="O9">
        <v>2.1426345624053697E-3</v>
      </c>
      <c r="P9">
        <v>-6.3999412133756322E-4</v>
      </c>
      <c r="Q9">
        <v>3.2013350161404774E-3</v>
      </c>
      <c r="R9">
        <v>2.5502583768530246E-3</v>
      </c>
      <c r="S9">
        <v>1.1231786764816423E-3</v>
      </c>
      <c r="T9">
        <v>1.7339219182276949E-3</v>
      </c>
      <c r="U9">
        <v>3.6023741112805232E-3</v>
      </c>
      <c r="V9">
        <v>4.2501060156678134E-3</v>
      </c>
      <c r="W9">
        <v>3.3560422630877435E-3</v>
      </c>
      <c r="X9">
        <v>2.3067351475890528E-3</v>
      </c>
      <c r="Y9">
        <v>-7.8163839840068004E-5</v>
      </c>
      <c r="Z9">
        <v>1.7157078927361692E-3</v>
      </c>
      <c r="AA9">
        <v>1.1983671604213428E-3</v>
      </c>
      <c r="AB9">
        <v>-1.3172228120890677E-3</v>
      </c>
      <c r="AC9">
        <v>-1.2552229432886768E-2</v>
      </c>
      <c r="AD9">
        <v>-7.9892611761089548E-3</v>
      </c>
      <c r="AE9">
        <v>-1.1163621844101213E-2</v>
      </c>
    </row>
    <row r="10" spans="1:31" x14ac:dyDescent="0.2">
      <c r="A10" t="s">
        <v>25</v>
      </c>
      <c r="B10">
        <v>3.9247229653126287E-3</v>
      </c>
      <c r="C10">
        <v>3.673530340371437E-5</v>
      </c>
      <c r="D10">
        <v>5.7541408124658011E-6</v>
      </c>
      <c r="E10">
        <v>-4.2890632363245092E-5</v>
      </c>
      <c r="F10">
        <v>-2.5871873079282716E-5</v>
      </c>
      <c r="G10">
        <v>1.1975281135467657E-4</v>
      </c>
      <c r="H10">
        <v>-2.7012031453335933E-5</v>
      </c>
      <c r="I10">
        <v>3.4343536131709503E-5</v>
      </c>
      <c r="J10">
        <v>1.1007286572033018E-4</v>
      </c>
      <c r="K10">
        <v>1.5075845228486198E-5</v>
      </c>
      <c r="L10">
        <v>1.9952740736226461E-7</v>
      </c>
      <c r="M10">
        <v>-1.6651409420628046E-6</v>
      </c>
      <c r="N10">
        <v>1.1712304439645896E-6</v>
      </c>
      <c r="O10">
        <v>-2.732133061798521E-5</v>
      </c>
      <c r="P10">
        <v>-7.7853134288280814E-5</v>
      </c>
      <c r="Q10">
        <v>-3.3107360890818362E-5</v>
      </c>
      <c r="R10">
        <v>-4.8265743928764293E-5</v>
      </c>
      <c r="S10">
        <v>-3.7245685278512362E-5</v>
      </c>
      <c r="T10">
        <v>-5.5849834103624345E-5</v>
      </c>
      <c r="U10">
        <v>-5.1486078135956203E-5</v>
      </c>
      <c r="V10">
        <v>-1.0747031795413603E-5</v>
      </c>
      <c r="W10">
        <v>-5.7762179879558291E-5</v>
      </c>
      <c r="X10">
        <v>-2.8959781790668612E-5</v>
      </c>
      <c r="Y10">
        <v>-2.0434940174912425E-7</v>
      </c>
      <c r="Z10">
        <v>8.5490768782622763E-6</v>
      </c>
      <c r="AA10">
        <v>1.2373660391155919E-5</v>
      </c>
      <c r="AB10">
        <v>4.0988381118778119E-5</v>
      </c>
      <c r="AC10">
        <v>-3.9037846252163186E-5</v>
      </c>
      <c r="AD10">
        <v>6.8025199649857343E-6</v>
      </c>
      <c r="AE10">
        <v>-6.9695971591717172E-4</v>
      </c>
    </row>
    <row r="11" spans="1:31" x14ac:dyDescent="0.2">
      <c r="A11" t="s">
        <v>26</v>
      </c>
      <c r="B11">
        <v>3.761952679408966E-3</v>
      </c>
      <c r="C11">
        <v>-1.9138151699126854E-5</v>
      </c>
      <c r="D11">
        <v>-5.917442312370758E-5</v>
      </c>
      <c r="E11">
        <v>-3.3635431914668339E-6</v>
      </c>
      <c r="F11">
        <v>-3.2082984016124364E-5</v>
      </c>
      <c r="G11">
        <v>9.4471121148073504E-5</v>
      </c>
      <c r="H11">
        <v>3.8377401375203414E-5</v>
      </c>
      <c r="I11">
        <v>3.1749198681861779E-5</v>
      </c>
      <c r="J11">
        <v>7.9819377965472589E-5</v>
      </c>
      <c r="K11">
        <v>1.9952740736226461E-7</v>
      </c>
      <c r="L11">
        <v>1.9525887572552947E-5</v>
      </c>
      <c r="M11">
        <v>-3.5846815262748145E-7</v>
      </c>
      <c r="N11">
        <v>-1.3475464782087887E-4</v>
      </c>
      <c r="O11">
        <v>-9.4461063232253637E-5</v>
      </c>
      <c r="P11">
        <v>-1.3710539460936054E-4</v>
      </c>
      <c r="Q11">
        <v>-8.203191184409707E-5</v>
      </c>
      <c r="R11">
        <v>-1.1709481137791997E-4</v>
      </c>
      <c r="S11">
        <v>-9.4625653686440788E-5</v>
      </c>
      <c r="T11">
        <v>-9.2513569375087348E-5</v>
      </c>
      <c r="U11">
        <v>-1.0271391939565698E-4</v>
      </c>
      <c r="V11">
        <v>-8.476732735087126E-5</v>
      </c>
      <c r="W11">
        <v>-1.1200440324343405E-4</v>
      </c>
      <c r="X11">
        <v>-1.153553350141084E-4</v>
      </c>
      <c r="Y11">
        <v>5.0423044085425999E-6</v>
      </c>
      <c r="Z11">
        <v>-1.3175476193668842E-5</v>
      </c>
      <c r="AA11">
        <v>-1.6221571520530204E-5</v>
      </c>
      <c r="AB11">
        <v>2.8747867586248694E-6</v>
      </c>
      <c r="AC11">
        <v>-8.7978968395945495E-5</v>
      </c>
      <c r="AD11">
        <v>-3.2966206981423208E-5</v>
      </c>
      <c r="AE11">
        <v>-9.4813997241714591E-4</v>
      </c>
    </row>
    <row r="12" spans="1:31" x14ac:dyDescent="0.2">
      <c r="A12" t="s">
        <v>60</v>
      </c>
      <c r="B12">
        <v>4.3469925592013042E-3</v>
      </c>
      <c r="C12">
        <v>-3.9617751019052622E-5</v>
      </c>
      <c r="D12">
        <v>4.8347326257845396E-5</v>
      </c>
      <c r="E12">
        <v>-9.4084818755373845E-5</v>
      </c>
      <c r="F12">
        <v>-3.4072950933626366E-5</v>
      </c>
      <c r="G12">
        <v>6.5412693435608279E-6</v>
      </c>
      <c r="H12">
        <v>-6.9365727498974593E-6</v>
      </c>
      <c r="I12">
        <v>-8.1743052669760853E-6</v>
      </c>
      <c r="J12">
        <v>1.0707169896805127E-5</v>
      </c>
      <c r="K12">
        <v>-1.6651409420628046E-6</v>
      </c>
      <c r="L12">
        <v>-3.5846815262748145E-7</v>
      </c>
      <c r="M12">
        <v>1.3685351004695953E-5</v>
      </c>
      <c r="N12">
        <v>8.365067143363997E-5</v>
      </c>
      <c r="O12">
        <v>6.6038503702282934E-5</v>
      </c>
      <c r="P12">
        <v>5.3222708760309773E-5</v>
      </c>
      <c r="Q12">
        <v>7.1891035347313665E-5</v>
      </c>
      <c r="R12">
        <v>5.0543851911690775E-5</v>
      </c>
      <c r="S12">
        <v>5.2987379662071786E-5</v>
      </c>
      <c r="T12">
        <v>6.6512508251791663E-5</v>
      </c>
      <c r="U12">
        <v>6.4755801909460248E-5</v>
      </c>
      <c r="V12">
        <v>8.4153004764702188E-5</v>
      </c>
      <c r="W12">
        <v>5.2372088991128207E-5</v>
      </c>
      <c r="X12">
        <v>7.0874544250282035E-5</v>
      </c>
      <c r="Y12">
        <v>-2.8693980256449232E-7</v>
      </c>
      <c r="Z12">
        <v>-4.3025178640351225E-6</v>
      </c>
      <c r="AA12">
        <v>2.6082449105198619E-5</v>
      </c>
      <c r="AB12">
        <v>4.2262001036049735E-5</v>
      </c>
      <c r="AC12">
        <v>4.8349784931855659E-5</v>
      </c>
      <c r="AD12">
        <v>1.0374702983670427E-4</v>
      </c>
      <c r="AE12">
        <v>-1.0214480186188724E-4</v>
      </c>
    </row>
    <row r="13" spans="1:31" x14ac:dyDescent="0.2">
      <c r="A13" t="s">
        <v>85</v>
      </c>
      <c r="B13">
        <v>5.9541999878816393E-2</v>
      </c>
      <c r="C13">
        <v>1.4772122542767053E-4</v>
      </c>
      <c r="D13">
        <v>2.9064105868807839E-3</v>
      </c>
      <c r="E13">
        <v>-3.5906863639366708E-4</v>
      </c>
      <c r="F13">
        <v>-1.1677392857106111E-4</v>
      </c>
      <c r="G13">
        <v>-1.1019826787864936E-3</v>
      </c>
      <c r="H13">
        <v>2.5402372177803501E-3</v>
      </c>
      <c r="I13">
        <v>-1.4358191524082714E-3</v>
      </c>
      <c r="J13">
        <v>3.644244279996801E-3</v>
      </c>
      <c r="K13">
        <v>1.1712304439645896E-6</v>
      </c>
      <c r="L13">
        <v>-1.3475464782087887E-4</v>
      </c>
      <c r="M13">
        <v>8.365067143363997E-5</v>
      </c>
      <c r="N13">
        <v>6.8957308161458508E-2</v>
      </c>
      <c r="O13">
        <v>3.1010440261237299E-2</v>
      </c>
      <c r="P13">
        <v>3.0776255374612375E-2</v>
      </c>
      <c r="Q13">
        <v>3.1174592593950855E-2</v>
      </c>
      <c r="R13">
        <v>3.0387589662834828E-2</v>
      </c>
      <c r="S13">
        <v>3.070490692647351E-2</v>
      </c>
      <c r="T13">
        <v>3.1179717329934672E-2</v>
      </c>
      <c r="U13">
        <v>3.1228763033885436E-2</v>
      </c>
      <c r="V13">
        <v>3.1346957098345077E-2</v>
      </c>
      <c r="W13">
        <v>3.1198324984202531E-2</v>
      </c>
      <c r="X13">
        <v>3.1464846280012115E-2</v>
      </c>
      <c r="Y13">
        <v>-2.155451749228615E-4</v>
      </c>
      <c r="Z13">
        <v>2.8997791954143235E-3</v>
      </c>
      <c r="AA13">
        <v>5.02957383530771E-3</v>
      </c>
      <c r="AB13">
        <v>1.3859092419142462E-2</v>
      </c>
      <c r="AC13">
        <v>1.9323433472349383E-2</v>
      </c>
      <c r="AD13">
        <v>8.3651651182033854E-3</v>
      </c>
      <c r="AE13">
        <v>-2.3253570119060499E-2</v>
      </c>
    </row>
    <row r="14" spans="1:31" x14ac:dyDescent="0.2">
      <c r="A14" t="s">
        <v>86</v>
      </c>
      <c r="B14">
        <v>0.22558555568116731</v>
      </c>
      <c r="C14">
        <v>-7.6708561412617204E-4</v>
      </c>
      <c r="D14">
        <v>1.2854829718092864E-3</v>
      </c>
      <c r="E14">
        <v>-1.2381464190400438E-3</v>
      </c>
      <c r="F14">
        <v>-4.6094353141549506E-4</v>
      </c>
      <c r="G14">
        <v>-7.7783414438963201E-4</v>
      </c>
      <c r="H14">
        <v>2.9608869597252492E-3</v>
      </c>
      <c r="I14">
        <v>-1.0680956730261624E-3</v>
      </c>
      <c r="J14">
        <v>2.1426345624053697E-3</v>
      </c>
      <c r="K14">
        <v>-2.732133061798521E-5</v>
      </c>
      <c r="L14">
        <v>-9.4461063232253637E-5</v>
      </c>
      <c r="M14">
        <v>6.6038503702282934E-5</v>
      </c>
      <c r="N14">
        <v>3.1010440261237299E-2</v>
      </c>
      <c r="O14">
        <v>4.3782892710806293E-2</v>
      </c>
      <c r="P14">
        <v>3.0102050180530485E-2</v>
      </c>
      <c r="Q14">
        <v>3.0553741417861723E-2</v>
      </c>
      <c r="R14">
        <v>2.9940517371521907E-2</v>
      </c>
      <c r="S14">
        <v>3.0237618973724595E-2</v>
      </c>
      <c r="T14">
        <v>3.0763005168561369E-2</v>
      </c>
      <c r="U14">
        <v>3.071988455357251E-2</v>
      </c>
      <c r="V14">
        <v>3.0477679117794733E-2</v>
      </c>
      <c r="W14">
        <v>3.0502016653641068E-2</v>
      </c>
      <c r="X14">
        <v>3.0722186604069106E-2</v>
      </c>
      <c r="Y14">
        <v>-2.7708304259419555E-4</v>
      </c>
      <c r="Z14">
        <v>3.14261066578813E-3</v>
      </c>
      <c r="AA14">
        <v>2.0885617383254703E-3</v>
      </c>
      <c r="AB14">
        <v>1.2848507885054927E-2</v>
      </c>
      <c r="AC14">
        <v>1.8668400827405417E-2</v>
      </c>
      <c r="AD14">
        <v>7.6203028992377232E-3</v>
      </c>
      <c r="AE14">
        <v>-2.034457186911898E-2</v>
      </c>
    </row>
    <row r="15" spans="1:31" x14ac:dyDescent="0.2">
      <c r="A15" t="s">
        <v>87</v>
      </c>
      <c r="B15">
        <v>0.21967315322539183</v>
      </c>
      <c r="C15">
        <v>-3.6345524771142217E-4</v>
      </c>
      <c r="D15">
        <v>2.1307849538344209E-3</v>
      </c>
      <c r="E15">
        <v>-2.0256890336503683E-4</v>
      </c>
      <c r="F15">
        <v>-2.784096938666194E-4</v>
      </c>
      <c r="G15">
        <v>-1.1911745398581865E-3</v>
      </c>
      <c r="H15">
        <v>2.4998468177617026E-3</v>
      </c>
      <c r="I15">
        <v>-1.7956393773064508E-4</v>
      </c>
      <c r="J15">
        <v>-6.3999412133756322E-4</v>
      </c>
      <c r="K15">
        <v>-7.7853134288280814E-5</v>
      </c>
      <c r="L15">
        <v>-1.3710539460936054E-4</v>
      </c>
      <c r="M15">
        <v>5.3222708760309773E-5</v>
      </c>
      <c r="N15">
        <v>3.0776255374612375E-2</v>
      </c>
      <c r="O15">
        <v>3.0102050180530485E-2</v>
      </c>
      <c r="P15">
        <v>5.2767153078474745E-2</v>
      </c>
      <c r="Q15">
        <v>3.050645708671992E-2</v>
      </c>
      <c r="R15">
        <v>3.0109937252391056E-2</v>
      </c>
      <c r="S15">
        <v>3.0121348412160746E-2</v>
      </c>
      <c r="T15">
        <v>3.0768973198202779E-2</v>
      </c>
      <c r="U15">
        <v>3.0696987434946758E-2</v>
      </c>
      <c r="V15">
        <v>3.0337799796829493E-2</v>
      </c>
      <c r="W15">
        <v>3.0511818272036619E-2</v>
      </c>
      <c r="X15">
        <v>3.0729111079747105E-2</v>
      </c>
      <c r="Y15">
        <v>-1.2383908170351867E-4</v>
      </c>
      <c r="Z15">
        <v>1.4230942110800612E-3</v>
      </c>
      <c r="AA15">
        <v>9.4413839352063347E-4</v>
      </c>
      <c r="AB15">
        <v>1.1688674775534855E-2</v>
      </c>
      <c r="AC15">
        <v>1.7638981602166991E-2</v>
      </c>
      <c r="AD15">
        <v>5.1576277098041396E-3</v>
      </c>
      <c r="AE15">
        <v>-1.9104687002496058E-2</v>
      </c>
    </row>
    <row r="16" spans="1:31" x14ac:dyDescent="0.2">
      <c r="A16" t="s">
        <v>88</v>
      </c>
      <c r="B16">
        <v>0.11930619595063831</v>
      </c>
      <c r="C16">
        <v>-1.2996608193042904E-3</v>
      </c>
      <c r="D16">
        <v>1.421032434581789E-3</v>
      </c>
      <c r="E16">
        <v>-9.3173845638645195E-4</v>
      </c>
      <c r="F16">
        <v>2.0303398867806133E-5</v>
      </c>
      <c r="G16">
        <v>-4.9450681600591694E-4</v>
      </c>
      <c r="H16">
        <v>2.3889798362452899E-3</v>
      </c>
      <c r="I16">
        <v>-6.7880911096233378E-4</v>
      </c>
      <c r="J16">
        <v>3.2013350161404774E-3</v>
      </c>
      <c r="K16">
        <v>-3.3107360890818362E-5</v>
      </c>
      <c r="L16">
        <v>-8.203191184409707E-5</v>
      </c>
      <c r="M16">
        <v>7.1891035347313665E-5</v>
      </c>
      <c r="N16">
        <v>3.1174592593950855E-2</v>
      </c>
      <c r="O16">
        <v>3.0553741417861723E-2</v>
      </c>
      <c r="P16">
        <v>3.050645708671992E-2</v>
      </c>
      <c r="Q16">
        <v>5.0903229752524433E-2</v>
      </c>
      <c r="R16">
        <v>3.0367109056479349E-2</v>
      </c>
      <c r="S16">
        <v>3.0528777827671154E-2</v>
      </c>
      <c r="T16">
        <v>3.0961979360716652E-2</v>
      </c>
      <c r="U16">
        <v>3.1041568166883249E-2</v>
      </c>
      <c r="V16">
        <v>3.0924906365841661E-2</v>
      </c>
      <c r="W16">
        <v>3.1003278843662489E-2</v>
      </c>
      <c r="X16">
        <v>3.1160502588325666E-2</v>
      </c>
      <c r="Y16">
        <v>-2.7159287140669807E-4</v>
      </c>
      <c r="Z16">
        <v>1.8612366277093754E-3</v>
      </c>
      <c r="AA16">
        <v>1.9330359484744538E-3</v>
      </c>
      <c r="AB16">
        <v>1.6990802242780559E-2</v>
      </c>
      <c r="AC16">
        <v>1.8566534721804487E-2</v>
      </c>
      <c r="AD16">
        <v>7.3558285480327754E-3</v>
      </c>
      <c r="AE16">
        <v>-2.1440599440715601E-2</v>
      </c>
    </row>
    <row r="17" spans="1:31" x14ac:dyDescent="0.2">
      <c r="A17" t="s">
        <v>89</v>
      </c>
      <c r="B17">
        <v>-0.1265052130521733</v>
      </c>
      <c r="C17">
        <v>-1.4385867940101881E-3</v>
      </c>
      <c r="D17">
        <v>1.2580378971168836E-3</v>
      </c>
      <c r="E17">
        <v>-7.5293934578947626E-4</v>
      </c>
      <c r="F17">
        <v>-2.4880700030248414E-4</v>
      </c>
      <c r="G17">
        <v>-3.8680277424980088E-4</v>
      </c>
      <c r="H17">
        <v>1.9166356675014719E-3</v>
      </c>
      <c r="I17">
        <v>-3.232676927409253E-4</v>
      </c>
      <c r="J17">
        <v>2.5502583768530246E-3</v>
      </c>
      <c r="K17">
        <v>-4.8265743928764293E-5</v>
      </c>
      <c r="L17">
        <v>-1.1709481137791997E-4</v>
      </c>
      <c r="M17">
        <v>5.0543851911690775E-5</v>
      </c>
      <c r="N17">
        <v>3.0387589662834828E-2</v>
      </c>
      <c r="O17">
        <v>2.9940517371521907E-2</v>
      </c>
      <c r="P17">
        <v>3.0109937252391056E-2</v>
      </c>
      <c r="Q17">
        <v>3.0367109056479349E-2</v>
      </c>
      <c r="R17">
        <v>5.0614666920888139E-2</v>
      </c>
      <c r="S17">
        <v>3.0085972449803707E-2</v>
      </c>
      <c r="T17">
        <v>3.0475351470596504E-2</v>
      </c>
      <c r="U17">
        <v>3.04843106865091E-2</v>
      </c>
      <c r="V17">
        <v>3.028690552627112E-2</v>
      </c>
      <c r="W17">
        <v>3.0463156882548484E-2</v>
      </c>
      <c r="X17">
        <v>3.0571569338660242E-2</v>
      </c>
      <c r="Y17">
        <v>-1.1982894188736779E-4</v>
      </c>
      <c r="Z17">
        <v>1.739088419047183E-3</v>
      </c>
      <c r="AA17">
        <v>-4.7473088304189831E-5</v>
      </c>
      <c r="AB17">
        <v>1.1358425182250376E-2</v>
      </c>
      <c r="AC17">
        <v>1.6415411063976582E-2</v>
      </c>
      <c r="AD17">
        <v>6.3602494164934804E-3</v>
      </c>
      <c r="AE17">
        <v>-2.0433566082218062E-2</v>
      </c>
    </row>
    <row r="18" spans="1:31" x14ac:dyDescent="0.2">
      <c r="A18" t="s">
        <v>90</v>
      </c>
      <c r="B18">
        <v>0.18489000921177204</v>
      </c>
      <c r="C18">
        <v>-1.1264501274798461E-3</v>
      </c>
      <c r="D18">
        <v>1.1508797758215858E-3</v>
      </c>
      <c r="E18">
        <v>-1.4961011088904794E-3</v>
      </c>
      <c r="F18">
        <v>-3.8577260674331091E-4</v>
      </c>
      <c r="G18">
        <v>-7.1116421831667748E-4</v>
      </c>
      <c r="H18">
        <v>2.0087588685383804E-3</v>
      </c>
      <c r="I18">
        <v>-6.2293309144055781E-4</v>
      </c>
      <c r="J18">
        <v>1.1231786764816423E-3</v>
      </c>
      <c r="K18">
        <v>-3.7245685278512362E-5</v>
      </c>
      <c r="L18">
        <v>-9.4625653686440788E-5</v>
      </c>
      <c r="M18">
        <v>5.2987379662071786E-5</v>
      </c>
      <c r="N18">
        <v>3.070490692647351E-2</v>
      </c>
      <c r="O18">
        <v>3.0237618973724595E-2</v>
      </c>
      <c r="P18">
        <v>3.0121348412160746E-2</v>
      </c>
      <c r="Q18">
        <v>3.0528777827671154E-2</v>
      </c>
      <c r="R18">
        <v>3.0085972449803707E-2</v>
      </c>
      <c r="S18">
        <v>4.461890789777434E-2</v>
      </c>
      <c r="T18">
        <v>3.0742757922827803E-2</v>
      </c>
      <c r="U18">
        <v>3.0686597398576564E-2</v>
      </c>
      <c r="V18">
        <v>3.0447893161121641E-2</v>
      </c>
      <c r="W18">
        <v>3.0641678316739702E-2</v>
      </c>
      <c r="X18">
        <v>3.0711977247319052E-2</v>
      </c>
      <c r="Y18">
        <v>-2.7261063349105731E-4</v>
      </c>
      <c r="Z18">
        <v>2.1317884602863775E-3</v>
      </c>
      <c r="AA18">
        <v>1.8197530967750159E-3</v>
      </c>
      <c r="AB18">
        <v>1.3140777825899433E-2</v>
      </c>
      <c r="AC18">
        <v>1.6806347483427849E-2</v>
      </c>
      <c r="AD18">
        <v>7.7593112049649943E-3</v>
      </c>
      <c r="AE18">
        <v>-1.9456015982597254E-2</v>
      </c>
    </row>
    <row r="19" spans="1:31" x14ac:dyDescent="0.2">
      <c r="A19" t="s">
        <v>91</v>
      </c>
      <c r="B19">
        <v>-9.0382990810545169E-3</v>
      </c>
      <c r="C19">
        <v>-5.9741982798994513E-4</v>
      </c>
      <c r="D19">
        <v>8.5809690039237267E-4</v>
      </c>
      <c r="E19">
        <v>-1.2713950761271521E-3</v>
      </c>
      <c r="F19">
        <v>-9.9558240433822269E-4</v>
      </c>
      <c r="G19">
        <v>-6.1992646127233264E-4</v>
      </c>
      <c r="H19">
        <v>2.2213670589195439E-3</v>
      </c>
      <c r="I19">
        <v>-8.8944640149209424E-4</v>
      </c>
      <c r="J19">
        <v>1.7339219182276949E-3</v>
      </c>
      <c r="K19">
        <v>-5.5849834103624345E-5</v>
      </c>
      <c r="L19">
        <v>-9.2513569375087348E-5</v>
      </c>
      <c r="M19">
        <v>6.6512508251791663E-5</v>
      </c>
      <c r="N19">
        <v>3.1179717329934672E-2</v>
      </c>
      <c r="O19">
        <v>3.0763005168561369E-2</v>
      </c>
      <c r="P19">
        <v>3.0768973198202779E-2</v>
      </c>
      <c r="Q19">
        <v>3.0961979360716652E-2</v>
      </c>
      <c r="R19">
        <v>3.0475351470596504E-2</v>
      </c>
      <c r="S19">
        <v>3.0742757922827803E-2</v>
      </c>
      <c r="T19">
        <v>4.1960291458827598E-2</v>
      </c>
      <c r="U19">
        <v>3.1199298139799197E-2</v>
      </c>
      <c r="V19">
        <v>3.1005338411664477E-2</v>
      </c>
      <c r="W19">
        <v>3.1125334564856111E-2</v>
      </c>
      <c r="X19">
        <v>3.1168587148781728E-2</v>
      </c>
      <c r="Y19">
        <v>-2.6419002401914743E-4</v>
      </c>
      <c r="Z19">
        <v>2.3722738082053432E-3</v>
      </c>
      <c r="AA19">
        <v>1.7833684758711468E-3</v>
      </c>
      <c r="AB19">
        <v>1.3121019827300812E-2</v>
      </c>
      <c r="AC19">
        <v>1.7703985798227812E-2</v>
      </c>
      <c r="AD19">
        <v>6.7207432951217928E-3</v>
      </c>
      <c r="AE19">
        <v>-1.9423829304470546E-2</v>
      </c>
    </row>
    <row r="20" spans="1:31" x14ac:dyDescent="0.2">
      <c r="A20" t="s">
        <v>92</v>
      </c>
      <c r="B20">
        <v>-7.0996551267899333E-2</v>
      </c>
      <c r="C20">
        <v>-5.824017694866959E-4</v>
      </c>
      <c r="D20">
        <v>1.286718898846149E-3</v>
      </c>
      <c r="E20">
        <v>-1.0426950870062754E-3</v>
      </c>
      <c r="F20">
        <v>-6.0340469453766445E-4</v>
      </c>
      <c r="G20">
        <v>-6.2480277410365253E-4</v>
      </c>
      <c r="H20">
        <v>3.354902816933447E-3</v>
      </c>
      <c r="I20">
        <v>-6.5094445588870231E-4</v>
      </c>
      <c r="J20">
        <v>3.6023741112805232E-3</v>
      </c>
      <c r="K20">
        <v>-5.1486078135956203E-5</v>
      </c>
      <c r="L20">
        <v>-1.0271391939565698E-4</v>
      </c>
      <c r="M20">
        <v>6.4755801909460248E-5</v>
      </c>
      <c r="N20">
        <v>3.1228763033885436E-2</v>
      </c>
      <c r="O20">
        <v>3.071988455357251E-2</v>
      </c>
      <c r="P20">
        <v>3.0696987434946758E-2</v>
      </c>
      <c r="Q20">
        <v>3.1041568166883249E-2</v>
      </c>
      <c r="R20">
        <v>3.04843106865091E-2</v>
      </c>
      <c r="S20">
        <v>3.0686597398576564E-2</v>
      </c>
      <c r="T20">
        <v>3.1199298139799197E-2</v>
      </c>
      <c r="U20">
        <v>4.5680309384297783E-2</v>
      </c>
      <c r="V20">
        <v>3.0972509559998609E-2</v>
      </c>
      <c r="W20">
        <v>3.1142441200436355E-2</v>
      </c>
      <c r="X20">
        <v>3.118831348623765E-2</v>
      </c>
      <c r="Y20">
        <v>-2.1888443109165752E-4</v>
      </c>
      <c r="Z20">
        <v>2.7289357655805287E-3</v>
      </c>
      <c r="AA20">
        <v>1.906706085795106E-3</v>
      </c>
      <c r="AB20">
        <v>1.439754975191021E-2</v>
      </c>
      <c r="AC20">
        <v>1.8229062902306283E-2</v>
      </c>
      <c r="AD20">
        <v>5.5327598782864435E-3</v>
      </c>
      <c r="AE20">
        <v>-2.0421153399174365E-2</v>
      </c>
    </row>
    <row r="21" spans="1:31" x14ac:dyDescent="0.2">
      <c r="A21" t="s">
        <v>93</v>
      </c>
      <c r="B21">
        <v>-1.3661630081887482E-2</v>
      </c>
      <c r="C21">
        <v>-9.7035459270422304E-4</v>
      </c>
      <c r="D21">
        <v>1.798676590966301E-3</v>
      </c>
      <c r="E21">
        <v>-4.0248759463005221E-4</v>
      </c>
      <c r="F21">
        <v>-2.681633677375176E-4</v>
      </c>
      <c r="G21">
        <v>-2.5101501714181428E-4</v>
      </c>
      <c r="H21">
        <v>1.9756600874571784E-3</v>
      </c>
      <c r="I21">
        <v>-5.540149783590893E-4</v>
      </c>
      <c r="J21">
        <v>4.2501060156678134E-3</v>
      </c>
      <c r="K21">
        <v>-1.0747031795413603E-5</v>
      </c>
      <c r="L21">
        <v>-8.476732735087126E-5</v>
      </c>
      <c r="M21">
        <v>8.4153004764702188E-5</v>
      </c>
      <c r="N21">
        <v>3.1346957098345077E-2</v>
      </c>
      <c r="O21">
        <v>3.0477679117794733E-2</v>
      </c>
      <c r="P21">
        <v>3.0337799796829493E-2</v>
      </c>
      <c r="Q21">
        <v>3.0924906365841661E-2</v>
      </c>
      <c r="R21">
        <v>3.028690552627112E-2</v>
      </c>
      <c r="S21">
        <v>3.0447893161121641E-2</v>
      </c>
      <c r="T21">
        <v>3.1005338411664477E-2</v>
      </c>
      <c r="U21">
        <v>3.0972509559998609E-2</v>
      </c>
      <c r="V21">
        <v>4.9821769827168377E-2</v>
      </c>
      <c r="W21">
        <v>3.0845593375651528E-2</v>
      </c>
      <c r="X21">
        <v>3.1132747364414771E-2</v>
      </c>
      <c r="Y21">
        <v>-2.9370950791329873E-4</v>
      </c>
      <c r="Z21">
        <v>3.5438833284800399E-3</v>
      </c>
      <c r="AA21">
        <v>2.3097313956617245E-3</v>
      </c>
      <c r="AB21">
        <v>1.4055627943147655E-2</v>
      </c>
      <c r="AC21">
        <v>1.6043447060661183E-2</v>
      </c>
      <c r="AD21">
        <v>8.7346409512658908E-3</v>
      </c>
      <c r="AE21">
        <v>-2.2622310031764882E-2</v>
      </c>
    </row>
    <row r="22" spans="1:31" x14ac:dyDescent="0.2">
      <c r="A22" t="s">
        <v>94</v>
      </c>
      <c r="B22">
        <v>-0.13877756285876541</v>
      </c>
      <c r="C22">
        <v>-1.4659934106741007E-3</v>
      </c>
      <c r="D22">
        <v>1.5612546172892395E-3</v>
      </c>
      <c r="E22">
        <v>-1.2595874730771802E-3</v>
      </c>
      <c r="F22">
        <v>-5.2004210309835198E-4</v>
      </c>
      <c r="G22">
        <v>-1.0136201022767658E-3</v>
      </c>
      <c r="H22">
        <v>2.3337128736393787E-3</v>
      </c>
      <c r="I22">
        <v>1.5800580818581223E-4</v>
      </c>
      <c r="J22">
        <v>3.3560422630877435E-3</v>
      </c>
      <c r="K22">
        <v>-5.7762179879558291E-5</v>
      </c>
      <c r="L22">
        <v>-1.1200440324343405E-4</v>
      </c>
      <c r="M22">
        <v>5.2372088991128207E-5</v>
      </c>
      <c r="N22">
        <v>3.1198324984202531E-2</v>
      </c>
      <c r="O22">
        <v>3.0502016653641068E-2</v>
      </c>
      <c r="P22">
        <v>3.0511818272036619E-2</v>
      </c>
      <c r="Q22">
        <v>3.1003278843662489E-2</v>
      </c>
      <c r="R22">
        <v>3.0463156882548484E-2</v>
      </c>
      <c r="S22">
        <v>3.0641678316739702E-2</v>
      </c>
      <c r="T22">
        <v>3.1125334564856111E-2</v>
      </c>
      <c r="U22">
        <v>3.1142441200436355E-2</v>
      </c>
      <c r="V22">
        <v>3.0845593375651528E-2</v>
      </c>
      <c r="W22">
        <v>4.6516670325089035E-2</v>
      </c>
      <c r="X22">
        <v>3.1100362853644703E-2</v>
      </c>
      <c r="Y22">
        <v>-1.4930327017160985E-4</v>
      </c>
      <c r="Z22">
        <v>1.9320941722382572E-3</v>
      </c>
      <c r="AA22">
        <v>1.2938626358252963E-3</v>
      </c>
      <c r="AB22">
        <v>1.4349550343402762E-2</v>
      </c>
      <c r="AC22">
        <v>1.7946985345018613E-2</v>
      </c>
      <c r="AD22">
        <v>6.7700794898122463E-3</v>
      </c>
      <c r="AE22">
        <v>-2.0345821457908569E-2</v>
      </c>
    </row>
    <row r="23" spans="1:31" x14ac:dyDescent="0.2">
      <c r="A23" t="s">
        <v>95</v>
      </c>
      <c r="B23">
        <v>-0.44068246410717321</v>
      </c>
      <c r="C23">
        <v>-1.2112653202903021E-3</v>
      </c>
      <c r="D23">
        <v>1.7701464441010487E-3</v>
      </c>
      <c r="E23">
        <v>-3.8488614739284497E-4</v>
      </c>
      <c r="F23">
        <v>2.9852358970948976E-4</v>
      </c>
      <c r="G23">
        <v>-6.7081184716893255E-4</v>
      </c>
      <c r="H23">
        <v>2.2844993269157377E-3</v>
      </c>
      <c r="I23">
        <v>-6.2502832009025261E-4</v>
      </c>
      <c r="J23">
        <v>2.3067351475890528E-3</v>
      </c>
      <c r="K23">
        <v>-2.8959781790668612E-5</v>
      </c>
      <c r="L23">
        <v>-1.153553350141084E-4</v>
      </c>
      <c r="M23">
        <v>7.0874544250282035E-5</v>
      </c>
      <c r="N23">
        <v>3.1464846280012115E-2</v>
      </c>
      <c r="O23">
        <v>3.0722186604069106E-2</v>
      </c>
      <c r="P23">
        <v>3.0729111079747105E-2</v>
      </c>
      <c r="Q23">
        <v>3.1160502588325666E-2</v>
      </c>
      <c r="R23">
        <v>3.0571569338660242E-2</v>
      </c>
      <c r="S23">
        <v>3.0711977247319052E-2</v>
      </c>
      <c r="T23">
        <v>3.1168587148781728E-2</v>
      </c>
      <c r="U23">
        <v>3.118831348623765E-2</v>
      </c>
      <c r="V23">
        <v>3.1132747364414771E-2</v>
      </c>
      <c r="W23">
        <v>3.1100362853644703E-2</v>
      </c>
      <c r="X23">
        <v>5.0164029561422976E-2</v>
      </c>
      <c r="Y23">
        <v>-2.8935542684947746E-4</v>
      </c>
      <c r="Z23">
        <v>2.3450036522917354E-3</v>
      </c>
      <c r="AA23">
        <v>1.1044656077954433E-3</v>
      </c>
      <c r="AB23">
        <v>1.4640527583585618E-2</v>
      </c>
      <c r="AC23">
        <v>1.9025321775348519E-2</v>
      </c>
      <c r="AD23">
        <v>7.5851194419816184E-3</v>
      </c>
      <c r="AE23">
        <v>-2.0204246053593021E-2</v>
      </c>
    </row>
    <row r="24" spans="1:31" x14ac:dyDescent="0.2">
      <c r="A24" t="s">
        <v>44</v>
      </c>
      <c r="B24">
        <v>-1.746012272664221E-2</v>
      </c>
      <c r="C24">
        <v>1.1090626607253165E-4</v>
      </c>
      <c r="D24">
        <v>1.0366462666700318E-4</v>
      </c>
      <c r="E24">
        <v>-8.0327096535093089E-5</v>
      </c>
      <c r="F24">
        <v>-5.1865907981976829E-5</v>
      </c>
      <c r="G24">
        <v>-1.9569499723212994E-6</v>
      </c>
      <c r="H24">
        <v>5.2164999695679154E-6</v>
      </c>
      <c r="I24">
        <v>1.2189515250520151E-4</v>
      </c>
      <c r="J24">
        <v>-7.8163839840068004E-5</v>
      </c>
      <c r="K24">
        <v>-2.0434940174912425E-7</v>
      </c>
      <c r="L24">
        <v>5.0423044085425999E-6</v>
      </c>
      <c r="M24">
        <v>-2.8693980256449232E-7</v>
      </c>
      <c r="N24">
        <v>-2.155451749228615E-4</v>
      </c>
      <c r="O24">
        <v>-2.7708304259419555E-4</v>
      </c>
      <c r="P24">
        <v>-1.2383908170351867E-4</v>
      </c>
      <c r="Q24">
        <v>-2.7159287140669807E-4</v>
      </c>
      <c r="R24">
        <v>-1.1982894188736779E-4</v>
      </c>
      <c r="S24">
        <v>-2.7261063349105731E-4</v>
      </c>
      <c r="T24">
        <v>-2.6419002401914743E-4</v>
      </c>
      <c r="U24">
        <v>-2.1888443109165752E-4</v>
      </c>
      <c r="V24">
        <v>-2.9370950791329873E-4</v>
      </c>
      <c r="W24">
        <v>-1.4930327017160985E-4</v>
      </c>
      <c r="X24">
        <v>-2.8935542684947746E-4</v>
      </c>
      <c r="Y24">
        <v>1.5339364843380805E-4</v>
      </c>
      <c r="Z24">
        <v>-6.3308332114365138E-4</v>
      </c>
      <c r="AA24">
        <v>-7.4504661931938426E-4</v>
      </c>
      <c r="AB24">
        <v>2.3971115027914946E-5</v>
      </c>
      <c r="AC24">
        <v>-1.0614601697387711E-4</v>
      </c>
      <c r="AD24">
        <v>-3.1647368564952842E-4</v>
      </c>
      <c r="AE24">
        <v>-2.5544130633261717E-3</v>
      </c>
    </row>
    <row r="25" spans="1:31" x14ac:dyDescent="0.2">
      <c r="A25" t="s">
        <v>45</v>
      </c>
      <c r="B25">
        <v>-0.10757538509916646</v>
      </c>
      <c r="C25">
        <v>-6.4681663828254686E-4</v>
      </c>
      <c r="D25">
        <v>4.0398948472132297E-4</v>
      </c>
      <c r="E25">
        <v>5.1251635515520816E-4</v>
      </c>
      <c r="F25">
        <v>-1.5365798966056397E-4</v>
      </c>
      <c r="G25">
        <v>5.9178246688095307E-4</v>
      </c>
      <c r="H25">
        <v>1.9501763014155961E-4</v>
      </c>
      <c r="I25">
        <v>-8.3827246003347782E-4</v>
      </c>
      <c r="J25">
        <v>1.7157078927361692E-3</v>
      </c>
      <c r="K25">
        <v>8.5490768782622763E-6</v>
      </c>
      <c r="L25">
        <v>-1.3175476193668842E-5</v>
      </c>
      <c r="M25">
        <v>-4.3025178640351225E-6</v>
      </c>
      <c r="N25">
        <v>2.8997791954143235E-3</v>
      </c>
      <c r="O25">
        <v>3.14261066578813E-3</v>
      </c>
      <c r="P25">
        <v>1.4230942110800612E-3</v>
      </c>
      <c r="Q25">
        <v>1.8612366277093754E-3</v>
      </c>
      <c r="R25">
        <v>1.739088419047183E-3</v>
      </c>
      <c r="S25">
        <v>2.1317884602863775E-3</v>
      </c>
      <c r="T25">
        <v>2.3722738082053432E-3</v>
      </c>
      <c r="U25">
        <v>2.7289357655805287E-3</v>
      </c>
      <c r="V25">
        <v>3.5438833284800399E-3</v>
      </c>
      <c r="W25">
        <v>1.9320941722382572E-3</v>
      </c>
      <c r="X25">
        <v>2.3450036522917354E-3</v>
      </c>
      <c r="Y25">
        <v>-6.3308332114365138E-4</v>
      </c>
      <c r="Z25">
        <v>2.4340148026697879E-2</v>
      </c>
      <c r="AA25">
        <v>4.8447282016506393E-3</v>
      </c>
      <c r="AB25">
        <v>2.721759544374975E-4</v>
      </c>
      <c r="AC25">
        <v>6.132136572417137E-5</v>
      </c>
      <c r="AD25">
        <v>3.332529212333955E-3</v>
      </c>
      <c r="AE25">
        <v>6.6973365592233828E-3</v>
      </c>
    </row>
    <row r="26" spans="1:31" x14ac:dyDescent="0.2">
      <c r="A26" t="s">
        <v>46</v>
      </c>
      <c r="B26">
        <v>0.12252227737286411</v>
      </c>
      <c r="C26">
        <v>2.0169603174773163E-4</v>
      </c>
      <c r="D26">
        <v>1.0420391998900835E-3</v>
      </c>
      <c r="E26">
        <v>-2.4636037019768522E-4</v>
      </c>
      <c r="F26">
        <v>-1.8351524443164027E-5</v>
      </c>
      <c r="G26">
        <v>3.2814852203348475E-4</v>
      </c>
      <c r="H26">
        <v>-6.4688032176739101E-4</v>
      </c>
      <c r="I26">
        <v>-7.1277165656064229E-4</v>
      </c>
      <c r="J26">
        <v>1.1983671604213428E-3</v>
      </c>
      <c r="K26">
        <v>1.2373660391155919E-5</v>
      </c>
      <c r="L26">
        <v>-1.6221571520530204E-5</v>
      </c>
      <c r="M26">
        <v>2.6082449105198619E-5</v>
      </c>
      <c r="N26">
        <v>5.02957383530771E-3</v>
      </c>
      <c r="O26">
        <v>2.0885617383254703E-3</v>
      </c>
      <c r="P26">
        <v>9.4413839352063347E-4</v>
      </c>
      <c r="Q26">
        <v>1.9330359484744538E-3</v>
      </c>
      <c r="R26">
        <v>-4.7473088304189831E-5</v>
      </c>
      <c r="S26">
        <v>1.8197530967750159E-3</v>
      </c>
      <c r="T26">
        <v>1.7833684758711468E-3</v>
      </c>
      <c r="U26">
        <v>1.906706085795106E-3</v>
      </c>
      <c r="V26">
        <v>2.3097313956617245E-3</v>
      </c>
      <c r="W26">
        <v>1.2938626358252963E-3</v>
      </c>
      <c r="X26">
        <v>1.1044656077954433E-3</v>
      </c>
      <c r="Y26">
        <v>-7.4504661931938426E-4</v>
      </c>
      <c r="Z26">
        <v>4.8447282016506393E-3</v>
      </c>
      <c r="AA26">
        <v>2.9087029431777846E-2</v>
      </c>
      <c r="AB26">
        <v>7.2728697970135623E-4</v>
      </c>
      <c r="AC26">
        <v>-4.8539082318281666E-4</v>
      </c>
      <c r="AD26">
        <v>1.7678364919323001E-4</v>
      </c>
      <c r="AE26">
        <v>8.1334710894641199E-3</v>
      </c>
    </row>
    <row r="27" spans="1:31" x14ac:dyDescent="0.2">
      <c r="A27" t="s">
        <v>98</v>
      </c>
      <c r="B27">
        <v>-0.79457116743206246</v>
      </c>
      <c r="C27">
        <v>3.723117740708897E-4</v>
      </c>
      <c r="D27">
        <v>2.5217783552886541E-5</v>
      </c>
      <c r="E27">
        <v>-1.6321297019726748E-3</v>
      </c>
      <c r="F27">
        <v>-1.2114965120788674E-4</v>
      </c>
      <c r="G27">
        <v>-1.7669226632702141E-3</v>
      </c>
      <c r="H27">
        <v>-5.0619835415700639E-3</v>
      </c>
      <c r="I27">
        <v>1.0367049840395084E-3</v>
      </c>
      <c r="J27">
        <v>-1.3172228120890677E-3</v>
      </c>
      <c r="K27">
        <v>4.0988381118778119E-5</v>
      </c>
      <c r="L27">
        <v>2.8747867586248694E-6</v>
      </c>
      <c r="M27">
        <v>4.2262001036049735E-5</v>
      </c>
      <c r="N27">
        <v>1.3859092419142462E-2</v>
      </c>
      <c r="O27">
        <v>1.2848507885054927E-2</v>
      </c>
      <c r="P27">
        <v>1.1688674775534855E-2</v>
      </c>
      <c r="Q27">
        <v>1.6990802242780559E-2</v>
      </c>
      <c r="R27">
        <v>1.1358425182250376E-2</v>
      </c>
      <c r="S27">
        <v>1.3140777825899433E-2</v>
      </c>
      <c r="T27">
        <v>1.3121019827300812E-2</v>
      </c>
      <c r="U27">
        <v>1.439754975191021E-2</v>
      </c>
      <c r="V27">
        <v>1.4055627943147655E-2</v>
      </c>
      <c r="W27">
        <v>1.4349550343402762E-2</v>
      </c>
      <c r="X27">
        <v>1.4640527583585618E-2</v>
      </c>
      <c r="Y27">
        <v>2.3971115027914946E-5</v>
      </c>
      <c r="Z27">
        <v>2.721759544374975E-4</v>
      </c>
      <c r="AA27">
        <v>7.2728697970135623E-4</v>
      </c>
      <c r="AB27">
        <v>8.1405976070300062E-2</v>
      </c>
      <c r="AC27">
        <v>8.8909548763209598E-3</v>
      </c>
      <c r="AD27">
        <v>4.7282620346969246E-3</v>
      </c>
      <c r="AE27">
        <v>-1.697328613890486E-2</v>
      </c>
    </row>
    <row r="28" spans="1:31" x14ac:dyDescent="0.2">
      <c r="A28" t="s">
        <v>99</v>
      </c>
      <c r="B28">
        <v>0.52650420936035303</v>
      </c>
      <c r="C28">
        <v>4.8357832236665802E-4</v>
      </c>
      <c r="D28">
        <v>2.4760832969318411E-3</v>
      </c>
      <c r="E28">
        <v>8.653255770110054E-4</v>
      </c>
      <c r="F28">
        <v>1.2210820356455711E-4</v>
      </c>
      <c r="G28">
        <v>-2.792956729529033E-4</v>
      </c>
      <c r="H28">
        <v>1.8197575996036844E-3</v>
      </c>
      <c r="I28">
        <v>-2.5418085978306023E-3</v>
      </c>
      <c r="J28">
        <v>-1.2552229432886768E-2</v>
      </c>
      <c r="K28">
        <v>-3.9037846252163186E-5</v>
      </c>
      <c r="L28">
        <v>-8.7978968395945495E-5</v>
      </c>
      <c r="M28">
        <v>4.8349784931855659E-5</v>
      </c>
      <c r="N28">
        <v>1.9323433472349383E-2</v>
      </c>
      <c r="O28">
        <v>1.8668400827405417E-2</v>
      </c>
      <c r="P28">
        <v>1.7638981602166991E-2</v>
      </c>
      <c r="Q28">
        <v>1.8566534721804487E-2</v>
      </c>
      <c r="R28">
        <v>1.6415411063976582E-2</v>
      </c>
      <c r="S28">
        <v>1.6806347483427849E-2</v>
      </c>
      <c r="T28">
        <v>1.7703985798227812E-2</v>
      </c>
      <c r="U28">
        <v>1.8229062902306283E-2</v>
      </c>
      <c r="V28">
        <v>1.6043447060661183E-2</v>
      </c>
      <c r="W28">
        <v>1.7946985345018613E-2</v>
      </c>
      <c r="X28">
        <v>1.9025321775348519E-2</v>
      </c>
      <c r="Y28">
        <v>-1.0614601697387711E-4</v>
      </c>
      <c r="Z28">
        <v>6.132136572417137E-5</v>
      </c>
      <c r="AA28">
        <v>-4.8539082318281666E-4</v>
      </c>
      <c r="AB28">
        <v>8.8909548763209598E-3</v>
      </c>
      <c r="AC28">
        <v>0.30525361947678259</v>
      </c>
      <c r="AD28">
        <v>7.689549263250558E-3</v>
      </c>
      <c r="AE28">
        <v>-1.2384681843299909E-2</v>
      </c>
    </row>
    <row r="29" spans="1:31" x14ac:dyDescent="0.2">
      <c r="A29" t="s">
        <v>100</v>
      </c>
      <c r="B29">
        <v>-0.23410121988567759</v>
      </c>
      <c r="C29">
        <v>-2.018643409382139E-3</v>
      </c>
      <c r="D29">
        <v>-5.644578806073392E-4</v>
      </c>
      <c r="E29">
        <v>-1.4580143858035667E-3</v>
      </c>
      <c r="F29">
        <v>-1.6731959814989034E-3</v>
      </c>
      <c r="G29">
        <v>-1.2533875640398625E-3</v>
      </c>
      <c r="H29">
        <v>1.3009075990543548E-3</v>
      </c>
      <c r="I29">
        <v>-3.3907291678794077E-3</v>
      </c>
      <c r="J29">
        <v>-7.9892611761089548E-3</v>
      </c>
      <c r="K29">
        <v>6.8025199649857343E-6</v>
      </c>
      <c r="L29">
        <v>-3.2966206981423208E-5</v>
      </c>
      <c r="M29">
        <v>1.0374702983670427E-4</v>
      </c>
      <c r="N29">
        <v>8.3651651182033854E-3</v>
      </c>
      <c r="O29">
        <v>7.6203028992377232E-3</v>
      </c>
      <c r="P29">
        <v>5.1576277098041396E-3</v>
      </c>
      <c r="Q29">
        <v>7.3558285480327754E-3</v>
      </c>
      <c r="R29">
        <v>6.3602494164934804E-3</v>
      </c>
      <c r="S29">
        <v>7.7593112049649943E-3</v>
      </c>
      <c r="T29">
        <v>6.7207432951217928E-3</v>
      </c>
      <c r="U29">
        <v>5.5327598782864435E-3</v>
      </c>
      <c r="V29">
        <v>8.7346409512658908E-3</v>
      </c>
      <c r="W29">
        <v>6.7700794898122463E-3</v>
      </c>
      <c r="X29">
        <v>7.5851194419816184E-3</v>
      </c>
      <c r="Y29">
        <v>-3.1647368564952842E-4</v>
      </c>
      <c r="Z29">
        <v>3.332529212333955E-3</v>
      </c>
      <c r="AA29">
        <v>1.7678364919323001E-4</v>
      </c>
      <c r="AB29">
        <v>4.7282620346969246E-3</v>
      </c>
      <c r="AC29">
        <v>7.689549263250558E-3</v>
      </c>
      <c r="AD29">
        <v>0.13706343881748922</v>
      </c>
      <c r="AE29">
        <v>1.4669745290485652E-4</v>
      </c>
    </row>
    <row r="30" spans="1:31" x14ac:dyDescent="0.2">
      <c r="A30" t="s">
        <v>47</v>
      </c>
      <c r="B30">
        <v>-5.6274553067061389E-2</v>
      </c>
      <c r="C30">
        <v>-5.3601843944843181E-3</v>
      </c>
      <c r="D30">
        <v>-6.1648113873944074E-3</v>
      </c>
      <c r="E30">
        <v>-2.8090171653942079E-3</v>
      </c>
      <c r="F30">
        <v>-3.1110007212266531E-3</v>
      </c>
      <c r="G30">
        <v>-1.362232855291734E-2</v>
      </c>
      <c r="H30">
        <v>-4.4001471374490522E-3</v>
      </c>
      <c r="I30">
        <v>-6.7741559097199387E-3</v>
      </c>
      <c r="J30">
        <v>-1.1163621844101213E-2</v>
      </c>
      <c r="K30">
        <v>-6.9695971591717172E-4</v>
      </c>
      <c r="L30">
        <v>-9.4813997241714591E-4</v>
      </c>
      <c r="M30">
        <v>-1.0214480186188724E-4</v>
      </c>
      <c r="N30">
        <v>-2.3253570119060499E-2</v>
      </c>
      <c r="O30">
        <v>-2.034457186911898E-2</v>
      </c>
      <c r="P30">
        <v>-1.9104687002496058E-2</v>
      </c>
      <c r="Q30">
        <v>-2.1440599440715601E-2</v>
      </c>
      <c r="R30">
        <v>-2.0433566082218062E-2</v>
      </c>
      <c r="S30">
        <v>-1.9456015982597254E-2</v>
      </c>
      <c r="T30">
        <v>-1.9423829304470546E-2</v>
      </c>
      <c r="U30">
        <v>-2.0421153399174365E-2</v>
      </c>
      <c r="V30">
        <v>-2.2622310031764882E-2</v>
      </c>
      <c r="W30">
        <v>-2.0345821457908569E-2</v>
      </c>
      <c r="X30">
        <v>-2.0204246053593021E-2</v>
      </c>
      <c r="Y30">
        <v>-2.5544130633261717E-3</v>
      </c>
      <c r="Z30">
        <v>6.6973365592233828E-3</v>
      </c>
      <c r="AA30">
        <v>8.1334710894641199E-3</v>
      </c>
      <c r="AB30">
        <v>-1.697328613890486E-2</v>
      </c>
      <c r="AC30">
        <v>-1.2384681843299909E-2</v>
      </c>
      <c r="AD30">
        <v>1.4669745290485652E-4</v>
      </c>
      <c r="AE30">
        <v>0.15701977082494334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E30"/>
  <sheetViews>
    <sheetView workbookViewId="0">
      <selection activeCell="D33" sqref="D33"/>
    </sheetView>
  </sheetViews>
  <sheetFormatPr baseColWidth="10" defaultColWidth="8.83203125" defaultRowHeight="15" x14ac:dyDescent="0.2"/>
  <sheetData>
    <row r="1" spans="1:31" x14ac:dyDescent="0.2">
      <c r="A1" t="s">
        <v>19</v>
      </c>
      <c r="B1" t="s">
        <v>20</v>
      </c>
      <c r="C1" t="s">
        <v>22</v>
      </c>
      <c r="D1" t="s">
        <v>23</v>
      </c>
      <c r="E1" t="s">
        <v>53</v>
      </c>
      <c r="F1" t="s">
        <v>37</v>
      </c>
      <c r="G1" t="s">
        <v>39</v>
      </c>
      <c r="H1" t="s">
        <v>41</v>
      </c>
      <c r="I1" t="s">
        <v>42</v>
      </c>
      <c r="J1" t="s">
        <v>43</v>
      </c>
      <c r="K1" t="s">
        <v>25</v>
      </c>
      <c r="L1" t="s">
        <v>26</v>
      </c>
      <c r="M1" t="s">
        <v>60</v>
      </c>
      <c r="N1" t="s">
        <v>85</v>
      </c>
      <c r="O1" t="s">
        <v>86</v>
      </c>
      <c r="P1" t="s">
        <v>87</v>
      </c>
      <c r="Q1" t="s">
        <v>88</v>
      </c>
      <c r="R1" t="s">
        <v>89</v>
      </c>
      <c r="S1" t="s">
        <v>90</v>
      </c>
      <c r="T1" t="s">
        <v>91</v>
      </c>
      <c r="U1" t="s">
        <v>92</v>
      </c>
      <c r="V1" t="s">
        <v>93</v>
      </c>
      <c r="W1" t="s">
        <v>94</v>
      </c>
      <c r="X1" t="s">
        <v>95</v>
      </c>
      <c r="Y1" t="s">
        <v>44</v>
      </c>
      <c r="Z1" t="s">
        <v>45</v>
      </c>
      <c r="AA1" t="s">
        <v>46</v>
      </c>
      <c r="AB1" t="s">
        <v>98</v>
      </c>
      <c r="AC1" t="s">
        <v>99</v>
      </c>
      <c r="AD1" t="s">
        <v>100</v>
      </c>
      <c r="AE1" t="s">
        <v>47</v>
      </c>
    </row>
    <row r="2" spans="1:31" x14ac:dyDescent="0.2">
      <c r="A2" t="s">
        <v>22</v>
      </c>
      <c r="B2">
        <v>0.44711177127314689</v>
      </c>
      <c r="C2">
        <v>1.9956265787809194E-3</v>
      </c>
      <c r="D2">
        <v>-2.4038376233536129E-5</v>
      </c>
      <c r="E2">
        <v>4.4517557872923675E-4</v>
      </c>
      <c r="F2">
        <v>4.5608708019046471E-4</v>
      </c>
      <c r="G2">
        <v>4.3841686883691486E-4</v>
      </c>
      <c r="H2">
        <v>-3.439411992682981E-4</v>
      </c>
      <c r="I2">
        <v>-1.9133725020141635E-5</v>
      </c>
      <c r="J2">
        <v>-7.2020319255336842E-4</v>
      </c>
      <c r="K2">
        <v>7.0031463515571774E-6</v>
      </c>
      <c r="L2">
        <v>-5.8000185690443958E-6</v>
      </c>
      <c r="M2">
        <v>-1.2135765754183511E-5</v>
      </c>
      <c r="N2">
        <v>-3.929018702063521E-4</v>
      </c>
      <c r="O2">
        <v>-6.392063917205589E-4</v>
      </c>
      <c r="P2">
        <v>-4.0329984539403882E-4</v>
      </c>
      <c r="Q2">
        <v>-5.1584747869534904E-4</v>
      </c>
      <c r="R2">
        <v>-7.1157721182257263E-4</v>
      </c>
      <c r="S2">
        <v>-6.5122468515039708E-4</v>
      </c>
      <c r="T2">
        <v>-3.9774486378352421E-4</v>
      </c>
      <c r="U2">
        <v>-3.8345291311565839E-4</v>
      </c>
      <c r="V2">
        <v>-5.4459410239244177E-4</v>
      </c>
      <c r="W2">
        <v>-5.5461483147125517E-4</v>
      </c>
      <c r="X2">
        <v>-5.6703134622472084E-4</v>
      </c>
      <c r="Y2">
        <v>1.7816335366109984E-5</v>
      </c>
      <c r="Z2">
        <v>-1.044515318574064E-4</v>
      </c>
      <c r="AA2">
        <v>5.0287386656205156E-5</v>
      </c>
      <c r="AB2">
        <v>-4.1801436378172233E-4</v>
      </c>
      <c r="AC2">
        <v>8.176311861370631E-5</v>
      </c>
      <c r="AD2">
        <v>4.8143218447137498E-4</v>
      </c>
      <c r="AE2">
        <v>3.8211064121042694E-4</v>
      </c>
    </row>
    <row r="3" spans="1:31" x14ac:dyDescent="0.2">
      <c r="A3" t="s">
        <v>23</v>
      </c>
      <c r="B3">
        <v>-5.9093502861091232E-2</v>
      </c>
      <c r="C3">
        <v>-2.4038376233536129E-5</v>
      </c>
      <c r="D3">
        <v>2.3677734017122878E-5</v>
      </c>
      <c r="E3">
        <v>5.6793417645763808E-5</v>
      </c>
      <c r="F3">
        <v>4.4458285967312967E-5</v>
      </c>
      <c r="G3">
        <v>5.718049744970902E-5</v>
      </c>
      <c r="H3">
        <v>1.2692153930581057E-4</v>
      </c>
      <c r="I3">
        <v>-4.6074205103474684E-6</v>
      </c>
      <c r="J3">
        <v>8.7351861963422348E-5</v>
      </c>
      <c r="K3">
        <v>2.5166142758331899E-7</v>
      </c>
      <c r="L3">
        <v>-1.2153762234652821E-6</v>
      </c>
      <c r="M3">
        <v>1.8892725718450809E-6</v>
      </c>
      <c r="N3">
        <v>4.6506838305695618E-5</v>
      </c>
      <c r="O3">
        <v>2.7677270965422557E-5</v>
      </c>
      <c r="P3">
        <v>5.2835945415985941E-6</v>
      </c>
      <c r="Q3">
        <v>7.8008748714344933E-6</v>
      </c>
      <c r="R3">
        <v>1.0709453687056912E-5</v>
      </c>
      <c r="S3">
        <v>1.8968581477113379E-5</v>
      </c>
      <c r="T3">
        <v>-2.3899854286702545E-5</v>
      </c>
      <c r="U3">
        <v>9.6326772611961048E-6</v>
      </c>
      <c r="V3">
        <v>9.4845630936883554E-6</v>
      </c>
      <c r="W3">
        <v>3.2453993185321687E-5</v>
      </c>
      <c r="X3">
        <v>1.6974801391156672E-5</v>
      </c>
      <c r="Y3">
        <v>1.719353986323884E-6</v>
      </c>
      <c r="Z3">
        <v>1.9292154111525805E-5</v>
      </c>
      <c r="AA3">
        <v>3.656109712722795E-5</v>
      </c>
      <c r="AB3">
        <v>4.9589689822649797E-5</v>
      </c>
      <c r="AC3">
        <v>8.5234331227560575E-6</v>
      </c>
      <c r="AD3">
        <v>-6.94747795839146E-5</v>
      </c>
      <c r="AE3">
        <v>-1.5378982261401598E-3</v>
      </c>
    </row>
    <row r="4" spans="1:31" x14ac:dyDescent="0.2">
      <c r="A4" t="s">
        <v>53</v>
      </c>
      <c r="B4">
        <v>0.86976753881182045</v>
      </c>
      <c r="C4">
        <v>4.4517557872923675E-4</v>
      </c>
      <c r="D4">
        <v>5.6793417645763808E-5</v>
      </c>
      <c r="E4">
        <v>5.7187210291844166E-3</v>
      </c>
      <c r="F4">
        <v>3.9095418084525418E-3</v>
      </c>
      <c r="G4">
        <v>7.7188116301313823E-4</v>
      </c>
      <c r="H4">
        <v>2.4843140817790252E-4</v>
      </c>
      <c r="I4">
        <v>9.2924866132971476E-5</v>
      </c>
      <c r="J4">
        <v>-8.3517809627251492E-5</v>
      </c>
      <c r="K4">
        <v>-2.037321920418651E-5</v>
      </c>
      <c r="L4">
        <v>-1.445568309429981E-5</v>
      </c>
      <c r="M4">
        <v>-4.1364614537193329E-5</v>
      </c>
      <c r="N4">
        <v>-4.7763362830306538E-4</v>
      </c>
      <c r="O4">
        <v>-6.2323979539603261E-4</v>
      </c>
      <c r="P4">
        <v>1.9135358824438941E-4</v>
      </c>
      <c r="Q4">
        <v>-5.65770868642988E-4</v>
      </c>
      <c r="R4">
        <v>-1.9326735377081625E-4</v>
      </c>
      <c r="S4">
        <v>-2.9172747700134108E-4</v>
      </c>
      <c r="T4">
        <v>-2.8367785001534736E-4</v>
      </c>
      <c r="U4">
        <v>-7.8596895404906702E-4</v>
      </c>
      <c r="V4">
        <v>-3.4602390719131772E-4</v>
      </c>
      <c r="W4">
        <v>-2.62224080492346E-5</v>
      </c>
      <c r="X4">
        <v>-9.8042443667950042E-5</v>
      </c>
      <c r="Y4">
        <v>-4.1754003198693935E-5</v>
      </c>
      <c r="Z4">
        <v>3.026843193372139E-5</v>
      </c>
      <c r="AA4">
        <v>-2.9338966742775501E-4</v>
      </c>
      <c r="AB4">
        <v>2.025829730888096E-4</v>
      </c>
      <c r="AC4">
        <v>-2.8901265125895253E-4</v>
      </c>
      <c r="AD4">
        <v>-7.4610736029815804E-4</v>
      </c>
      <c r="AE4">
        <v>-4.5173405338944251E-3</v>
      </c>
    </row>
    <row r="5" spans="1:31" x14ac:dyDescent="0.2">
      <c r="A5" t="s">
        <v>37</v>
      </c>
      <c r="B5">
        <v>0.45277276905336844</v>
      </c>
      <c r="C5">
        <v>4.5608708019046471E-4</v>
      </c>
      <c r="D5">
        <v>4.4458285967312967E-5</v>
      </c>
      <c r="E5">
        <v>3.9095418084525418E-3</v>
      </c>
      <c r="F5">
        <v>4.5912896050777745E-3</v>
      </c>
      <c r="G5">
        <v>8.0835614164092694E-4</v>
      </c>
      <c r="H5">
        <v>3.667103936981494E-4</v>
      </c>
      <c r="I5">
        <v>1.928966852521057E-4</v>
      </c>
      <c r="J5">
        <v>-2.4397089260294711E-4</v>
      </c>
      <c r="K5">
        <v>-5.0794272676486535E-6</v>
      </c>
      <c r="L5">
        <v>-5.3327312522260579E-6</v>
      </c>
      <c r="M5">
        <v>-1.8011346586563401E-5</v>
      </c>
      <c r="N5">
        <v>-6.6099853144791507E-4</v>
      </c>
      <c r="O5">
        <v>-8.2224753599386519E-4</v>
      </c>
      <c r="P5">
        <v>-2.7765188894147931E-4</v>
      </c>
      <c r="Q5">
        <v>-8.7812565234781162E-4</v>
      </c>
      <c r="R5">
        <v>-8.5946399319635739E-4</v>
      </c>
      <c r="S5">
        <v>-7.6089996716539247E-4</v>
      </c>
      <c r="T5">
        <v>-7.1854780314313527E-4</v>
      </c>
      <c r="U5">
        <v>-1.7033770100072807E-3</v>
      </c>
      <c r="V5">
        <v>-9.9508972490858867E-4</v>
      </c>
      <c r="W5">
        <v>-8.7735446789414368E-4</v>
      </c>
      <c r="X5">
        <v>-4.5647183533588289E-4</v>
      </c>
      <c r="Y5">
        <v>-2.3920127318871728E-5</v>
      </c>
      <c r="Z5">
        <v>1.9099810471492461E-4</v>
      </c>
      <c r="AA5">
        <v>-2.2612702060291148E-4</v>
      </c>
      <c r="AB5">
        <v>-1.3430614297969758E-4</v>
      </c>
      <c r="AC5">
        <v>-2.7021739027463477E-4</v>
      </c>
      <c r="AD5">
        <v>-6.2941810873908758E-4</v>
      </c>
      <c r="AE5">
        <v>-4.9089278288948976E-3</v>
      </c>
    </row>
    <row r="6" spans="1:31" x14ac:dyDescent="0.2">
      <c r="A6" t="s">
        <v>39</v>
      </c>
      <c r="B6">
        <v>-0.45637809062651252</v>
      </c>
      <c r="C6">
        <v>4.3841686883691486E-4</v>
      </c>
      <c r="D6">
        <v>5.718049744970902E-5</v>
      </c>
      <c r="E6">
        <v>7.7188116301313823E-4</v>
      </c>
      <c r="F6">
        <v>8.0835614164092694E-4</v>
      </c>
      <c r="G6">
        <v>5.6261966125082013E-3</v>
      </c>
      <c r="H6">
        <v>7.3638140882433954E-4</v>
      </c>
      <c r="I6">
        <v>6.9088058188599528E-5</v>
      </c>
      <c r="J6">
        <v>-1.2358859950914142E-3</v>
      </c>
      <c r="K6">
        <v>3.5946168217342092E-5</v>
      </c>
      <c r="L6">
        <v>6.3552627008214816E-5</v>
      </c>
      <c r="M6">
        <v>9.3264492361114641E-6</v>
      </c>
      <c r="N6">
        <v>-5.5091780507736648E-4</v>
      </c>
      <c r="O6">
        <v>-9.5140725892807693E-4</v>
      </c>
      <c r="P6">
        <v>-3.2062293493090007E-4</v>
      </c>
      <c r="Q6">
        <v>-8.3024729535319686E-4</v>
      </c>
      <c r="R6">
        <v>-4.2660121755684361E-4</v>
      </c>
      <c r="S6">
        <v>-6.2427068290376491E-4</v>
      </c>
      <c r="T6">
        <v>-5.3456693740549718E-4</v>
      </c>
      <c r="U6">
        <v>-5.5035474213838424E-4</v>
      </c>
      <c r="V6">
        <v>-9.5393182720701891E-4</v>
      </c>
      <c r="W6">
        <v>-7.5045191069285366E-4</v>
      </c>
      <c r="X6">
        <v>-6.241767777210791E-4</v>
      </c>
      <c r="Y6">
        <v>6.2510485163258305E-5</v>
      </c>
      <c r="Z6">
        <v>-2.2431930711884485E-4</v>
      </c>
      <c r="AA6">
        <v>-3.901549906831118E-4</v>
      </c>
      <c r="AB6">
        <v>-2.9847336911770781E-4</v>
      </c>
      <c r="AC6">
        <v>-2.6500858079670474E-4</v>
      </c>
      <c r="AD6">
        <v>-1.0387211319741157E-3</v>
      </c>
      <c r="AE6">
        <v>-1.076764837670505E-2</v>
      </c>
    </row>
    <row r="7" spans="1:31" x14ac:dyDescent="0.2">
      <c r="A7" t="s">
        <v>41</v>
      </c>
      <c r="B7">
        <v>-0.14248881487916507</v>
      </c>
      <c r="C7">
        <v>-3.439411992682981E-4</v>
      </c>
      <c r="D7">
        <v>1.2692153930581057E-4</v>
      </c>
      <c r="E7">
        <v>2.4843140817790252E-4</v>
      </c>
      <c r="F7">
        <v>3.667103936981494E-4</v>
      </c>
      <c r="G7">
        <v>7.3638140882433954E-4</v>
      </c>
      <c r="H7">
        <v>2.197857951760087E-2</v>
      </c>
      <c r="I7">
        <v>4.7439390695424032E-4</v>
      </c>
      <c r="J7">
        <v>9.6097948885989824E-4</v>
      </c>
      <c r="K7">
        <v>-7.3896795111051867E-6</v>
      </c>
      <c r="L7">
        <v>1.6500764478068531E-5</v>
      </c>
      <c r="M7">
        <v>-1.391576033856736E-5</v>
      </c>
      <c r="N7">
        <v>8.6640695569780151E-4</v>
      </c>
      <c r="O7">
        <v>1.8265680571060089E-3</v>
      </c>
      <c r="P7">
        <v>9.0128487520301035E-4</v>
      </c>
      <c r="Q7">
        <v>1.1543798151998413E-3</v>
      </c>
      <c r="R7">
        <v>1.7477783244126473E-3</v>
      </c>
      <c r="S7">
        <v>1.3752294962770316E-3</v>
      </c>
      <c r="T7">
        <v>4.9919301845969058E-4</v>
      </c>
      <c r="U7">
        <v>8.9578011007942094E-4</v>
      </c>
      <c r="V7">
        <v>7.9999001594313265E-4</v>
      </c>
      <c r="W7">
        <v>-5.3478562822216382E-5</v>
      </c>
      <c r="X7">
        <v>8.7146783320544985E-4</v>
      </c>
      <c r="Y7">
        <v>7.098993377080442E-6</v>
      </c>
      <c r="Z7">
        <v>2.5170834916713901E-4</v>
      </c>
      <c r="AA7">
        <v>-7.3199595178544553E-4</v>
      </c>
      <c r="AB7">
        <v>3.7261808331419182E-4</v>
      </c>
      <c r="AC7">
        <v>5.8979586596379086E-4</v>
      </c>
      <c r="AD7">
        <v>2.6556156047028237E-4</v>
      </c>
      <c r="AE7">
        <v>-1.0077086199776791E-2</v>
      </c>
    </row>
    <row r="8" spans="1:31" x14ac:dyDescent="0.2">
      <c r="A8" t="s">
        <v>42</v>
      </c>
      <c r="B8">
        <v>2.7057424237756016E-2</v>
      </c>
      <c r="C8">
        <v>-1.9133725020141635E-5</v>
      </c>
      <c r="D8">
        <v>-4.6074205103474684E-6</v>
      </c>
      <c r="E8">
        <v>9.2924866132971476E-5</v>
      </c>
      <c r="F8">
        <v>1.928966852521057E-4</v>
      </c>
      <c r="G8">
        <v>6.9088058188599528E-5</v>
      </c>
      <c r="H8">
        <v>4.7439390695424032E-4</v>
      </c>
      <c r="I8">
        <v>2.7931453082685165E-3</v>
      </c>
      <c r="J8">
        <v>7.4881534967764036E-4</v>
      </c>
      <c r="K8">
        <v>-3.5642612831821902E-6</v>
      </c>
      <c r="L8">
        <v>1.0456676466838857E-7</v>
      </c>
      <c r="M8">
        <v>1.8125369465357722E-5</v>
      </c>
      <c r="N8">
        <v>2.5941343493357549E-4</v>
      </c>
      <c r="O8">
        <v>7.8392516698390651E-4</v>
      </c>
      <c r="P8">
        <v>7.1086980346563033E-4</v>
      </c>
      <c r="Q8">
        <v>7.4500365462921807E-4</v>
      </c>
      <c r="R8">
        <v>8.4446092726604325E-4</v>
      </c>
      <c r="S8">
        <v>3.5126984084764929E-4</v>
      </c>
      <c r="T8">
        <v>7.0699857874685504E-4</v>
      </c>
      <c r="U8">
        <v>5.8553743601789205E-4</v>
      </c>
      <c r="V8">
        <v>8.3697463013426442E-4</v>
      </c>
      <c r="W8">
        <v>5.0458507080559435E-4</v>
      </c>
      <c r="X8">
        <v>4.6205862422348394E-4</v>
      </c>
      <c r="Y8">
        <v>3.0530638910390557E-5</v>
      </c>
      <c r="Z8">
        <v>-1.3352130182301561E-4</v>
      </c>
      <c r="AA8">
        <v>-1.1858653800537284E-4</v>
      </c>
      <c r="AB8">
        <v>2.3240792338278333E-4</v>
      </c>
      <c r="AC8">
        <v>1.7727059974100598E-5</v>
      </c>
      <c r="AD8">
        <v>-5.8379105376340837E-5</v>
      </c>
      <c r="AE8">
        <v>-1.6707630611913129E-3</v>
      </c>
    </row>
    <row r="9" spans="1:31" x14ac:dyDescent="0.2">
      <c r="A9" t="s">
        <v>43</v>
      </c>
      <c r="B9">
        <v>-0.23594699405073369</v>
      </c>
      <c r="C9">
        <v>-7.2020319255336842E-4</v>
      </c>
      <c r="D9">
        <v>8.7351861963422348E-5</v>
      </c>
      <c r="E9">
        <v>-8.3517809627251492E-5</v>
      </c>
      <c r="F9">
        <v>-2.4397089260294711E-4</v>
      </c>
      <c r="G9">
        <v>-1.2358859950914142E-3</v>
      </c>
      <c r="H9">
        <v>9.6097948885989824E-4</v>
      </c>
      <c r="I9">
        <v>7.4881534967764036E-4</v>
      </c>
      <c r="J9">
        <v>7.1595498913647748E-2</v>
      </c>
      <c r="K9">
        <v>-4.4885666519729181E-6</v>
      </c>
      <c r="L9">
        <v>4.8212814439350113E-6</v>
      </c>
      <c r="M9">
        <v>4.5052999503240978E-5</v>
      </c>
      <c r="N9">
        <v>3.2124922831280071E-3</v>
      </c>
      <c r="O9">
        <v>3.1028930468956022E-3</v>
      </c>
      <c r="P9">
        <v>3.0429628055083121E-3</v>
      </c>
      <c r="Q9">
        <v>3.4584412964148489E-3</v>
      </c>
      <c r="R9">
        <v>3.4686742898828878E-3</v>
      </c>
      <c r="S9">
        <v>2.498133925822149E-3</v>
      </c>
      <c r="T9">
        <v>2.6154093472634853E-3</v>
      </c>
      <c r="U9">
        <v>3.5874290418149652E-3</v>
      </c>
      <c r="V9">
        <v>2.957840208586757E-3</v>
      </c>
      <c r="W9">
        <v>3.5233228092845419E-3</v>
      </c>
      <c r="X9">
        <v>3.3013676795191089E-3</v>
      </c>
      <c r="Y9">
        <v>5.0901750936705945E-6</v>
      </c>
      <c r="Z9">
        <v>5.0690549455948992E-5</v>
      </c>
      <c r="AA9">
        <v>8.0883578638610797E-4</v>
      </c>
      <c r="AB9">
        <v>1.0587035757038217E-3</v>
      </c>
      <c r="AC9">
        <v>-1.9698405328071765E-3</v>
      </c>
      <c r="AD9">
        <v>-2.2074218812947102E-3</v>
      </c>
      <c r="AE9">
        <v>-9.1069561281141263E-3</v>
      </c>
    </row>
    <row r="10" spans="1:31" x14ac:dyDescent="0.2">
      <c r="A10" t="s">
        <v>25</v>
      </c>
      <c r="B10">
        <v>1.2626711742733424E-2</v>
      </c>
      <c r="C10">
        <v>7.0031463515571774E-6</v>
      </c>
      <c r="D10">
        <v>2.5166142758331899E-7</v>
      </c>
      <c r="E10">
        <v>-2.037321920418651E-5</v>
      </c>
      <c r="F10">
        <v>-5.0794272676486535E-6</v>
      </c>
      <c r="G10">
        <v>3.5946168217342092E-5</v>
      </c>
      <c r="H10">
        <v>-7.3896795111051867E-6</v>
      </c>
      <c r="I10">
        <v>-3.5642612831821902E-6</v>
      </c>
      <c r="J10">
        <v>-4.4885666519729181E-6</v>
      </c>
      <c r="K10">
        <v>5.0694491331949585E-6</v>
      </c>
      <c r="L10">
        <v>1.0166604989546396E-6</v>
      </c>
      <c r="M10">
        <v>-4.6209606572602964E-7</v>
      </c>
      <c r="N10">
        <v>-1.6216075255010199E-6</v>
      </c>
      <c r="O10">
        <v>-1.3527762951225419E-5</v>
      </c>
      <c r="P10">
        <v>3.2893968495392755E-7</v>
      </c>
      <c r="Q10">
        <v>-1.523322002288188E-6</v>
      </c>
      <c r="R10">
        <v>-2.2888094707135921E-6</v>
      </c>
      <c r="S10">
        <v>2.7291633233521642E-6</v>
      </c>
      <c r="T10">
        <v>-4.0156929082849974E-6</v>
      </c>
      <c r="U10">
        <v>-7.175118669461151E-6</v>
      </c>
      <c r="V10">
        <v>-1.4418489279607454E-5</v>
      </c>
      <c r="W10">
        <v>-1.5774871441245989E-5</v>
      </c>
      <c r="X10">
        <v>6.5221650879995481E-6</v>
      </c>
      <c r="Y10">
        <v>9.6892093278295603E-7</v>
      </c>
      <c r="Z10">
        <v>-6.0269832972083319E-6</v>
      </c>
      <c r="AA10">
        <v>-1.4228327153769698E-5</v>
      </c>
      <c r="AB10">
        <v>-1.6909154424571014E-6</v>
      </c>
      <c r="AC10">
        <v>3.7205927295593346E-6</v>
      </c>
      <c r="AD10">
        <v>5.2278493061043528E-5</v>
      </c>
      <c r="AE10">
        <v>-3.2081013239504299E-4</v>
      </c>
    </row>
    <row r="11" spans="1:31" x14ac:dyDescent="0.2">
      <c r="A11" t="s">
        <v>26</v>
      </c>
      <c r="B11">
        <v>2.6813621692083319E-3</v>
      </c>
      <c r="C11">
        <v>-5.8000185690443958E-6</v>
      </c>
      <c r="D11">
        <v>-1.2153762234652821E-6</v>
      </c>
      <c r="E11">
        <v>-1.445568309429981E-5</v>
      </c>
      <c r="F11">
        <v>-5.3327312522260579E-6</v>
      </c>
      <c r="G11">
        <v>6.3552627008214816E-5</v>
      </c>
      <c r="H11">
        <v>1.6500764478068531E-5</v>
      </c>
      <c r="I11">
        <v>1.0456676466838857E-7</v>
      </c>
      <c r="J11">
        <v>4.8212814439350113E-6</v>
      </c>
      <c r="K11">
        <v>1.0166604989546396E-6</v>
      </c>
      <c r="L11">
        <v>7.5824611629356192E-6</v>
      </c>
      <c r="M11">
        <v>8.778511224435571E-7</v>
      </c>
      <c r="N11">
        <v>-8.0538113092768393E-6</v>
      </c>
      <c r="O11">
        <v>-7.0639677853178169E-6</v>
      </c>
      <c r="P11">
        <v>5.7758407247216837E-6</v>
      </c>
      <c r="Q11">
        <v>5.1044441983585129E-6</v>
      </c>
      <c r="R11">
        <v>-9.1504645102175275E-6</v>
      </c>
      <c r="S11">
        <v>6.2066126711782639E-6</v>
      </c>
      <c r="T11">
        <v>1.3380839034705466E-5</v>
      </c>
      <c r="U11">
        <v>8.3651254309195287E-6</v>
      </c>
      <c r="V11">
        <v>-4.2490788522685794E-6</v>
      </c>
      <c r="W11">
        <v>8.8061343629499688E-6</v>
      </c>
      <c r="X11">
        <v>-3.4578855843234613E-6</v>
      </c>
      <c r="Y11">
        <v>2.042881087437861E-6</v>
      </c>
      <c r="Z11">
        <v>-1.8656930647624915E-5</v>
      </c>
      <c r="AA11">
        <v>1.6796073552138772E-6</v>
      </c>
      <c r="AB11">
        <v>-1.8450426926273537E-6</v>
      </c>
      <c r="AC11">
        <v>-1.3933772411130679E-5</v>
      </c>
      <c r="AD11">
        <v>-2.7368298128707728E-5</v>
      </c>
      <c r="AE11">
        <v>-4.0925032034199555E-4</v>
      </c>
    </row>
    <row r="12" spans="1:31" x14ac:dyDescent="0.2">
      <c r="A12" t="s">
        <v>60</v>
      </c>
      <c r="B12">
        <v>2.5785150603620994E-3</v>
      </c>
      <c r="C12">
        <v>-1.2135765754183511E-5</v>
      </c>
      <c r="D12">
        <v>1.8892725718450809E-6</v>
      </c>
      <c r="E12">
        <v>-4.1364614537193329E-5</v>
      </c>
      <c r="F12">
        <v>-1.8011346586563401E-5</v>
      </c>
      <c r="G12">
        <v>9.3264492361114641E-6</v>
      </c>
      <c r="H12">
        <v>-1.391576033856736E-5</v>
      </c>
      <c r="I12">
        <v>1.8125369465357722E-5</v>
      </c>
      <c r="J12">
        <v>4.5052999503240978E-5</v>
      </c>
      <c r="K12">
        <v>-4.6209606572602964E-7</v>
      </c>
      <c r="L12">
        <v>8.778511224435571E-7</v>
      </c>
      <c r="M12">
        <v>5.5029959071104372E-6</v>
      </c>
      <c r="N12">
        <v>4.0757096884262375E-5</v>
      </c>
      <c r="O12">
        <v>5.0346587974144059E-5</v>
      </c>
      <c r="P12">
        <v>4.9255452863053191E-5</v>
      </c>
      <c r="Q12">
        <v>4.9481618176421601E-5</v>
      </c>
      <c r="R12">
        <v>5.6666737679094515E-5</v>
      </c>
      <c r="S12">
        <v>3.5853155410970121E-5</v>
      </c>
      <c r="T12">
        <v>3.8025298384025037E-5</v>
      </c>
      <c r="U12">
        <v>3.6315593448795836E-5</v>
      </c>
      <c r="V12">
        <v>4.7322110586382498E-5</v>
      </c>
      <c r="W12">
        <v>5.4179278863717394E-5</v>
      </c>
      <c r="X12">
        <v>4.2515093999428828E-5</v>
      </c>
      <c r="Y12">
        <v>8.8167270655532862E-7</v>
      </c>
      <c r="Z12">
        <v>-1.3640823109104179E-5</v>
      </c>
      <c r="AA12">
        <v>2.1614796757323401E-5</v>
      </c>
      <c r="AB12">
        <v>2.3248396064244737E-5</v>
      </c>
      <c r="AC12">
        <v>2.427414460820008E-5</v>
      </c>
      <c r="AD12">
        <v>-1.8620620163825239E-5</v>
      </c>
      <c r="AE12">
        <v>-2.505809958468178E-4</v>
      </c>
    </row>
    <row r="13" spans="1:31" x14ac:dyDescent="0.2">
      <c r="A13" t="s">
        <v>85</v>
      </c>
      <c r="B13">
        <v>-0.10610904360929491</v>
      </c>
      <c r="C13">
        <v>-3.929018702063521E-4</v>
      </c>
      <c r="D13">
        <v>4.6506838305695618E-5</v>
      </c>
      <c r="E13">
        <v>-4.7763362830306538E-4</v>
      </c>
      <c r="F13">
        <v>-6.6099853144791507E-4</v>
      </c>
      <c r="G13">
        <v>-5.5091780507736648E-4</v>
      </c>
      <c r="H13">
        <v>8.6640695569780151E-4</v>
      </c>
      <c r="I13">
        <v>2.5941343493357549E-4</v>
      </c>
      <c r="J13">
        <v>3.2124922831280071E-3</v>
      </c>
      <c r="K13">
        <v>-1.6216075255010199E-6</v>
      </c>
      <c r="L13">
        <v>-8.0538113092768393E-6</v>
      </c>
      <c r="M13">
        <v>4.0757096884262375E-5</v>
      </c>
      <c r="N13">
        <v>1.8637167653943541E-2</v>
      </c>
      <c r="O13">
        <v>8.8574743559554723E-3</v>
      </c>
      <c r="P13">
        <v>8.6032640816207442E-3</v>
      </c>
      <c r="Q13">
        <v>8.7078461278126598E-3</v>
      </c>
      <c r="R13">
        <v>8.7582335067686763E-3</v>
      </c>
      <c r="S13">
        <v>8.6414773932689745E-3</v>
      </c>
      <c r="T13">
        <v>8.5772549655046687E-3</v>
      </c>
      <c r="U13">
        <v>8.9156700522328332E-3</v>
      </c>
      <c r="V13">
        <v>8.8804219744773542E-3</v>
      </c>
      <c r="W13">
        <v>8.9107849515687385E-3</v>
      </c>
      <c r="X13">
        <v>8.7205857508986344E-3</v>
      </c>
      <c r="Y13">
        <v>-1.5722576656119797E-5</v>
      </c>
      <c r="Z13">
        <v>-3.9258336460968463E-4</v>
      </c>
      <c r="AA13">
        <v>6.5017550578166114E-4</v>
      </c>
      <c r="AB13">
        <v>2.7652849323898088E-3</v>
      </c>
      <c r="AC13">
        <v>4.8688697228542934E-3</v>
      </c>
      <c r="AD13">
        <v>7.4276449223901076E-4</v>
      </c>
      <c r="AE13">
        <v>-1.0773681409469701E-2</v>
      </c>
    </row>
    <row r="14" spans="1:31" x14ac:dyDescent="0.2">
      <c r="A14" t="s">
        <v>86</v>
      </c>
      <c r="B14">
        <v>-2.4184467503917751E-3</v>
      </c>
      <c r="C14">
        <v>-6.392063917205589E-4</v>
      </c>
      <c r="D14">
        <v>2.7677270965422557E-5</v>
      </c>
      <c r="E14">
        <v>-6.2323979539603261E-4</v>
      </c>
      <c r="F14">
        <v>-8.2224753599386519E-4</v>
      </c>
      <c r="G14">
        <v>-9.5140725892807693E-4</v>
      </c>
      <c r="H14">
        <v>1.8265680571060089E-3</v>
      </c>
      <c r="I14">
        <v>7.8392516698390651E-4</v>
      </c>
      <c r="J14">
        <v>3.1028930468956022E-3</v>
      </c>
      <c r="K14">
        <v>-1.3527762951225419E-5</v>
      </c>
      <c r="L14">
        <v>-7.0639677853178169E-6</v>
      </c>
      <c r="M14">
        <v>5.0346587974144059E-5</v>
      </c>
      <c r="N14">
        <v>8.8574743559554723E-3</v>
      </c>
      <c r="O14">
        <v>1.3318067713490601E-2</v>
      </c>
      <c r="P14">
        <v>8.7177711876035534E-3</v>
      </c>
      <c r="Q14">
        <v>8.8630908206405526E-3</v>
      </c>
      <c r="R14">
        <v>8.8330022962250891E-3</v>
      </c>
      <c r="S14">
        <v>8.7579298672895954E-3</v>
      </c>
      <c r="T14">
        <v>8.711056152548793E-3</v>
      </c>
      <c r="U14">
        <v>9.1089284817323542E-3</v>
      </c>
      <c r="V14">
        <v>8.9840258011727857E-3</v>
      </c>
      <c r="W14">
        <v>9.0227617277611541E-3</v>
      </c>
      <c r="X14">
        <v>8.8345084832607036E-3</v>
      </c>
      <c r="Y14">
        <v>2.7917954839853584E-5</v>
      </c>
      <c r="Z14">
        <v>-6.2146940058502124E-4</v>
      </c>
      <c r="AA14">
        <v>2.9614087909930775E-4</v>
      </c>
      <c r="AB14">
        <v>2.7104428405957757E-3</v>
      </c>
      <c r="AC14">
        <v>4.8398906096306102E-3</v>
      </c>
      <c r="AD14">
        <v>8.9266422744085721E-4</v>
      </c>
      <c r="AE14">
        <v>-9.900856768710567E-3</v>
      </c>
    </row>
    <row r="15" spans="1:31" x14ac:dyDescent="0.2">
      <c r="A15" t="s">
        <v>87</v>
      </c>
      <c r="B15">
        <v>-0.13100128005291348</v>
      </c>
      <c r="C15">
        <v>-4.0329984539403882E-4</v>
      </c>
      <c r="D15">
        <v>5.2835945415985941E-6</v>
      </c>
      <c r="E15">
        <v>1.9135358824438941E-4</v>
      </c>
      <c r="F15">
        <v>-2.7765188894147931E-4</v>
      </c>
      <c r="G15">
        <v>-3.2062293493090007E-4</v>
      </c>
      <c r="H15">
        <v>9.0128487520301035E-4</v>
      </c>
      <c r="I15">
        <v>7.1086980346563033E-4</v>
      </c>
      <c r="J15">
        <v>3.0429628055083121E-3</v>
      </c>
      <c r="K15">
        <v>3.2893968495392755E-7</v>
      </c>
      <c r="L15">
        <v>5.7758407247216837E-6</v>
      </c>
      <c r="M15">
        <v>4.9255452863053191E-5</v>
      </c>
      <c r="N15">
        <v>8.6032640816207442E-3</v>
      </c>
      <c r="O15">
        <v>8.7177711876035534E-3</v>
      </c>
      <c r="P15">
        <v>1.3483960635444164E-2</v>
      </c>
      <c r="Q15">
        <v>8.5527996923077665E-3</v>
      </c>
      <c r="R15">
        <v>8.6027186602539892E-3</v>
      </c>
      <c r="S15">
        <v>8.550268864948439E-3</v>
      </c>
      <c r="T15">
        <v>8.5819516162595599E-3</v>
      </c>
      <c r="U15">
        <v>8.7532401828539219E-3</v>
      </c>
      <c r="V15">
        <v>8.752963220970876E-3</v>
      </c>
      <c r="W15">
        <v>8.8868102578091579E-3</v>
      </c>
      <c r="X15">
        <v>8.5915073647771407E-3</v>
      </c>
      <c r="Y15">
        <v>3.6941936225668142E-7</v>
      </c>
      <c r="Z15">
        <v>-8.1613046402215336E-4</v>
      </c>
      <c r="AA15">
        <v>-3.7092055697346437E-5</v>
      </c>
      <c r="AB15">
        <v>2.9041097365277739E-3</v>
      </c>
      <c r="AC15">
        <v>4.6921908562156615E-3</v>
      </c>
      <c r="AD15">
        <v>-1.4033616868129619E-3</v>
      </c>
      <c r="AE15">
        <v>-9.7587488718365242E-3</v>
      </c>
    </row>
    <row r="16" spans="1:31" x14ac:dyDescent="0.2">
      <c r="A16" t="s">
        <v>88</v>
      </c>
      <c r="B16">
        <v>-7.9957797720009979E-2</v>
      </c>
      <c r="C16">
        <v>-5.1584747869534904E-4</v>
      </c>
      <c r="D16">
        <v>7.8008748714344933E-6</v>
      </c>
      <c r="E16">
        <v>-5.65770868642988E-4</v>
      </c>
      <c r="F16">
        <v>-8.7812565234781162E-4</v>
      </c>
      <c r="G16">
        <v>-8.3024729535319686E-4</v>
      </c>
      <c r="H16">
        <v>1.1543798151998413E-3</v>
      </c>
      <c r="I16">
        <v>7.4500365462921807E-4</v>
      </c>
      <c r="J16">
        <v>3.4584412964148489E-3</v>
      </c>
      <c r="K16">
        <v>-1.523322002288188E-6</v>
      </c>
      <c r="L16">
        <v>5.1044441983585129E-6</v>
      </c>
      <c r="M16">
        <v>4.9481618176421601E-5</v>
      </c>
      <c r="N16">
        <v>8.7078461278126598E-3</v>
      </c>
      <c r="O16">
        <v>8.8630908206405526E-3</v>
      </c>
      <c r="P16">
        <v>8.5527996923077665E-3</v>
      </c>
      <c r="Q16">
        <v>1.2801076648728683E-2</v>
      </c>
      <c r="R16">
        <v>8.6666801251975047E-3</v>
      </c>
      <c r="S16">
        <v>8.5886819842888769E-3</v>
      </c>
      <c r="T16">
        <v>8.5774606552881192E-3</v>
      </c>
      <c r="U16">
        <v>8.835345471046115E-3</v>
      </c>
      <c r="V16">
        <v>8.876311233853431E-3</v>
      </c>
      <c r="W16">
        <v>8.8191963599651979E-3</v>
      </c>
      <c r="X16">
        <v>8.6364325187945155E-3</v>
      </c>
      <c r="Y16">
        <v>-1.9586506119415622E-5</v>
      </c>
      <c r="Z16">
        <v>-6.6288369844168032E-4</v>
      </c>
      <c r="AA16">
        <v>7.5394106452123357E-4</v>
      </c>
      <c r="AB16">
        <v>1.7092086053833925E-3</v>
      </c>
      <c r="AC16">
        <v>4.6844614763202896E-3</v>
      </c>
      <c r="AD16">
        <v>8.2130705702146379E-4</v>
      </c>
      <c r="AE16">
        <v>-8.9142349093196717E-3</v>
      </c>
    </row>
    <row r="17" spans="1:31" x14ac:dyDescent="0.2">
      <c r="A17" t="s">
        <v>89</v>
      </c>
      <c r="B17">
        <v>-7.2758658035883647E-2</v>
      </c>
      <c r="C17">
        <v>-7.1157721182257263E-4</v>
      </c>
      <c r="D17">
        <v>1.0709453687056912E-5</v>
      </c>
      <c r="E17">
        <v>-1.9326735377081625E-4</v>
      </c>
      <c r="F17">
        <v>-8.5946399319635739E-4</v>
      </c>
      <c r="G17">
        <v>-4.2660121755684361E-4</v>
      </c>
      <c r="H17">
        <v>1.7477783244126473E-3</v>
      </c>
      <c r="I17">
        <v>8.4446092726604325E-4</v>
      </c>
      <c r="J17">
        <v>3.4686742898828878E-3</v>
      </c>
      <c r="K17">
        <v>-2.2888094707135921E-6</v>
      </c>
      <c r="L17">
        <v>-9.1504645102175275E-6</v>
      </c>
      <c r="M17">
        <v>5.6666737679094515E-5</v>
      </c>
      <c r="N17">
        <v>8.7582335067686763E-3</v>
      </c>
      <c r="O17">
        <v>8.8330022962250891E-3</v>
      </c>
      <c r="P17">
        <v>8.6027186602539892E-3</v>
      </c>
      <c r="Q17">
        <v>8.6666801251975047E-3</v>
      </c>
      <c r="R17">
        <v>1.4258162079553953E-2</v>
      </c>
      <c r="S17">
        <v>8.6283906461917838E-3</v>
      </c>
      <c r="T17">
        <v>8.634483583548418E-3</v>
      </c>
      <c r="U17">
        <v>8.8254088015894891E-3</v>
      </c>
      <c r="V17">
        <v>8.8997837374422788E-3</v>
      </c>
      <c r="W17">
        <v>8.8445367196804403E-3</v>
      </c>
      <c r="X17">
        <v>8.6562420721373271E-3</v>
      </c>
      <c r="Y17">
        <v>-7.1446058972854127E-6</v>
      </c>
      <c r="Z17">
        <v>-5.4935761508681643E-4</v>
      </c>
      <c r="AA17">
        <v>7.6899865844448796E-4</v>
      </c>
      <c r="AB17">
        <v>2.4456666211926685E-3</v>
      </c>
      <c r="AC17">
        <v>4.0600726408760142E-3</v>
      </c>
      <c r="AD17">
        <v>7.1325899412350252E-4</v>
      </c>
      <c r="AE17">
        <v>-8.8057552264393692E-3</v>
      </c>
    </row>
    <row r="18" spans="1:31" x14ac:dyDescent="0.2">
      <c r="A18" t="s">
        <v>90</v>
      </c>
      <c r="B18">
        <v>-0.14899069392355341</v>
      </c>
      <c r="C18">
        <v>-6.5122468515039708E-4</v>
      </c>
      <c r="D18">
        <v>1.8968581477113379E-5</v>
      </c>
      <c r="E18">
        <v>-2.9172747700134108E-4</v>
      </c>
      <c r="F18">
        <v>-7.6089996716539247E-4</v>
      </c>
      <c r="G18">
        <v>-6.2427068290376491E-4</v>
      </c>
      <c r="H18">
        <v>1.3752294962770316E-3</v>
      </c>
      <c r="I18">
        <v>3.5126984084764929E-4</v>
      </c>
      <c r="J18">
        <v>2.498133925822149E-3</v>
      </c>
      <c r="K18">
        <v>2.7291633233521642E-6</v>
      </c>
      <c r="L18">
        <v>6.2066126711782639E-6</v>
      </c>
      <c r="M18">
        <v>3.5853155410970121E-5</v>
      </c>
      <c r="N18">
        <v>8.6414773932689745E-3</v>
      </c>
      <c r="O18">
        <v>8.7579298672895954E-3</v>
      </c>
      <c r="P18">
        <v>8.550268864948439E-3</v>
      </c>
      <c r="Q18">
        <v>8.5886819842888769E-3</v>
      </c>
      <c r="R18">
        <v>8.6283906461917838E-3</v>
      </c>
      <c r="S18">
        <v>1.2936993029384914E-2</v>
      </c>
      <c r="T18">
        <v>8.4955990035757538E-3</v>
      </c>
      <c r="U18">
        <v>8.7616764546210747E-3</v>
      </c>
      <c r="V18">
        <v>8.8133019968264538E-3</v>
      </c>
      <c r="W18">
        <v>8.7624564869319306E-3</v>
      </c>
      <c r="X18">
        <v>8.600368352855256E-3</v>
      </c>
      <c r="Y18">
        <v>2.1855792326880524E-5</v>
      </c>
      <c r="Z18">
        <v>-7.1854355186487333E-4</v>
      </c>
      <c r="AA18">
        <v>1.9290007634589654E-4</v>
      </c>
      <c r="AB18">
        <v>2.5839038318967293E-3</v>
      </c>
      <c r="AC18">
        <v>4.3124524427529372E-3</v>
      </c>
      <c r="AD18">
        <v>7.0908013100865603E-4</v>
      </c>
      <c r="AE18">
        <v>-1.0335359318745697E-2</v>
      </c>
    </row>
    <row r="19" spans="1:31" x14ac:dyDescent="0.2">
      <c r="A19" t="s">
        <v>91</v>
      </c>
      <c r="B19">
        <v>2.9727455610699359E-3</v>
      </c>
      <c r="C19">
        <v>-3.9774486378352421E-4</v>
      </c>
      <c r="D19">
        <v>-2.3899854286702545E-5</v>
      </c>
      <c r="E19">
        <v>-2.8367785001534736E-4</v>
      </c>
      <c r="F19">
        <v>-7.1854780314313527E-4</v>
      </c>
      <c r="G19">
        <v>-5.3456693740549718E-4</v>
      </c>
      <c r="H19">
        <v>4.9919301845969058E-4</v>
      </c>
      <c r="I19">
        <v>7.0699857874685504E-4</v>
      </c>
      <c r="J19">
        <v>2.6154093472634853E-3</v>
      </c>
      <c r="K19">
        <v>-4.0156929082849974E-6</v>
      </c>
      <c r="L19">
        <v>1.3380839034705466E-5</v>
      </c>
      <c r="M19">
        <v>3.8025298384025037E-5</v>
      </c>
      <c r="N19">
        <v>8.5772549655046687E-3</v>
      </c>
      <c r="O19">
        <v>8.711056152548793E-3</v>
      </c>
      <c r="P19">
        <v>8.5819516162595599E-3</v>
      </c>
      <c r="Q19">
        <v>8.5774606552881192E-3</v>
      </c>
      <c r="R19">
        <v>8.634483583548418E-3</v>
      </c>
      <c r="S19">
        <v>8.4955990035757538E-3</v>
      </c>
      <c r="T19">
        <v>1.1537603424364164E-2</v>
      </c>
      <c r="U19">
        <v>8.8420555543004993E-3</v>
      </c>
      <c r="V19">
        <v>8.821146268440128E-3</v>
      </c>
      <c r="W19">
        <v>8.7789184117413495E-3</v>
      </c>
      <c r="X19">
        <v>8.5593118017193402E-3</v>
      </c>
      <c r="Y19">
        <v>1.3781061725249351E-5</v>
      </c>
      <c r="Z19">
        <v>-7.5047732065047714E-4</v>
      </c>
      <c r="AA19">
        <v>2.1780839451868438E-4</v>
      </c>
      <c r="AB19">
        <v>2.7670636499949634E-3</v>
      </c>
      <c r="AC19">
        <v>4.2660144531325977E-3</v>
      </c>
      <c r="AD19">
        <v>-3.8751697659969247E-5</v>
      </c>
      <c r="AE19">
        <v>-7.7924120663597773E-3</v>
      </c>
    </row>
    <row r="20" spans="1:31" x14ac:dyDescent="0.2">
      <c r="A20" t="s">
        <v>92</v>
      </c>
      <c r="B20">
        <v>-0.14997576006747881</v>
      </c>
      <c r="C20">
        <v>-3.8345291311565839E-4</v>
      </c>
      <c r="D20">
        <v>9.6326772611961048E-6</v>
      </c>
      <c r="E20">
        <v>-7.8596895404906702E-4</v>
      </c>
      <c r="F20">
        <v>-1.7033770100072807E-3</v>
      </c>
      <c r="G20">
        <v>-5.5035474213838424E-4</v>
      </c>
      <c r="H20">
        <v>8.9578011007942094E-4</v>
      </c>
      <c r="I20">
        <v>5.8553743601789205E-4</v>
      </c>
      <c r="J20">
        <v>3.5874290418149652E-3</v>
      </c>
      <c r="K20">
        <v>-7.175118669461151E-6</v>
      </c>
      <c r="L20">
        <v>8.3651254309195287E-6</v>
      </c>
      <c r="M20">
        <v>3.6315593448795836E-5</v>
      </c>
      <c r="N20">
        <v>8.9156700522328332E-3</v>
      </c>
      <c r="O20">
        <v>9.1089284817323542E-3</v>
      </c>
      <c r="P20">
        <v>8.7532401828539219E-3</v>
      </c>
      <c r="Q20">
        <v>8.835345471046115E-3</v>
      </c>
      <c r="R20">
        <v>8.8254088015894891E-3</v>
      </c>
      <c r="S20">
        <v>8.7616764546210747E-3</v>
      </c>
      <c r="T20">
        <v>8.8420555543004993E-3</v>
      </c>
      <c r="U20">
        <v>1.6026961959739967E-2</v>
      </c>
      <c r="V20">
        <v>9.1254324631025729E-3</v>
      </c>
      <c r="W20">
        <v>9.1196943258055E-3</v>
      </c>
      <c r="X20">
        <v>8.7648286556849461E-3</v>
      </c>
      <c r="Y20">
        <v>4.5696094498446846E-5</v>
      </c>
      <c r="Z20">
        <v>-1.2124446737829951E-3</v>
      </c>
      <c r="AA20">
        <v>1.3172705688280586E-3</v>
      </c>
      <c r="AB20">
        <v>3.0778412140359248E-3</v>
      </c>
      <c r="AC20">
        <v>4.5280601506922404E-3</v>
      </c>
      <c r="AD20">
        <v>-1.4687629198212023E-4</v>
      </c>
      <c r="AE20">
        <v>-9.6971454856491154E-3</v>
      </c>
    </row>
    <row r="21" spans="1:31" x14ac:dyDescent="0.2">
      <c r="A21" t="s">
        <v>93</v>
      </c>
      <c r="B21">
        <v>-0.14448430860809436</v>
      </c>
      <c r="C21">
        <v>-5.4459410239244177E-4</v>
      </c>
      <c r="D21">
        <v>9.4845630936883554E-6</v>
      </c>
      <c r="E21">
        <v>-3.4602390719131772E-4</v>
      </c>
      <c r="F21">
        <v>-9.9508972490858867E-4</v>
      </c>
      <c r="G21">
        <v>-9.5393182720701891E-4</v>
      </c>
      <c r="H21">
        <v>7.9999001594313265E-4</v>
      </c>
      <c r="I21">
        <v>8.3697463013426442E-4</v>
      </c>
      <c r="J21">
        <v>2.957840208586757E-3</v>
      </c>
      <c r="K21">
        <v>-1.4418489279607454E-5</v>
      </c>
      <c r="L21">
        <v>-4.2490788522685794E-6</v>
      </c>
      <c r="M21">
        <v>4.7322110586382498E-5</v>
      </c>
      <c r="N21">
        <v>8.8804219744773542E-3</v>
      </c>
      <c r="O21">
        <v>8.9840258011727857E-3</v>
      </c>
      <c r="P21">
        <v>8.752963220970876E-3</v>
      </c>
      <c r="Q21">
        <v>8.876311233853431E-3</v>
      </c>
      <c r="R21">
        <v>8.8997837374422788E-3</v>
      </c>
      <c r="S21">
        <v>8.8133019968264538E-3</v>
      </c>
      <c r="T21">
        <v>8.821146268440128E-3</v>
      </c>
      <c r="U21">
        <v>9.1254324631025729E-3</v>
      </c>
      <c r="V21">
        <v>1.5865576795163788E-2</v>
      </c>
      <c r="W21">
        <v>9.1231562091928734E-3</v>
      </c>
      <c r="X21">
        <v>8.836998239168125E-3</v>
      </c>
      <c r="Y21">
        <v>-4.6677830568995701E-6</v>
      </c>
      <c r="Z21">
        <v>-5.4950890627692307E-4</v>
      </c>
      <c r="AA21">
        <v>1.41135880040816E-3</v>
      </c>
      <c r="AB21">
        <v>3.1499215501963719E-3</v>
      </c>
      <c r="AC21">
        <v>4.7524768266033867E-3</v>
      </c>
      <c r="AD21">
        <v>6.8329221932357412E-4</v>
      </c>
      <c r="AE21">
        <v>-8.4335892990939736E-3</v>
      </c>
    </row>
    <row r="22" spans="1:31" x14ac:dyDescent="0.2">
      <c r="A22" t="s">
        <v>94</v>
      </c>
      <c r="B22">
        <v>-0.15761629018508838</v>
      </c>
      <c r="C22">
        <v>-5.5461483147125517E-4</v>
      </c>
      <c r="D22">
        <v>3.2453993185321687E-5</v>
      </c>
      <c r="E22">
        <v>-2.62224080492346E-5</v>
      </c>
      <c r="F22">
        <v>-8.7735446789414368E-4</v>
      </c>
      <c r="G22">
        <v>-7.5045191069285366E-4</v>
      </c>
      <c r="H22">
        <v>-5.3478562822216382E-5</v>
      </c>
      <c r="I22">
        <v>5.0458507080559435E-4</v>
      </c>
      <c r="J22">
        <v>3.5233228092845419E-3</v>
      </c>
      <c r="K22">
        <v>-1.5774871441245989E-5</v>
      </c>
      <c r="L22">
        <v>8.8061343629499688E-6</v>
      </c>
      <c r="M22">
        <v>5.4179278863717394E-5</v>
      </c>
      <c r="N22">
        <v>8.9107849515687385E-3</v>
      </c>
      <c r="O22">
        <v>9.0227617277611541E-3</v>
      </c>
      <c r="P22">
        <v>8.8868102578091579E-3</v>
      </c>
      <c r="Q22">
        <v>8.8191963599651979E-3</v>
      </c>
      <c r="R22">
        <v>8.8445367196804403E-3</v>
      </c>
      <c r="S22">
        <v>8.7624564869319306E-3</v>
      </c>
      <c r="T22">
        <v>8.7789184117413495E-3</v>
      </c>
      <c r="U22">
        <v>9.1196943258055E-3</v>
      </c>
      <c r="V22">
        <v>9.1231562091928734E-3</v>
      </c>
      <c r="W22">
        <v>1.4757623514234985E-2</v>
      </c>
      <c r="X22">
        <v>8.8300476460560842E-3</v>
      </c>
      <c r="Y22">
        <v>6.9101259493248627E-5</v>
      </c>
      <c r="Z22">
        <v>-9.864381629208622E-4</v>
      </c>
      <c r="AA22">
        <v>-1.3226069242043082E-4</v>
      </c>
      <c r="AB22">
        <v>3.0402782858679981E-3</v>
      </c>
      <c r="AC22">
        <v>4.8567000263314321E-3</v>
      </c>
      <c r="AD22">
        <v>1.5827442598889772E-4</v>
      </c>
      <c r="AE22">
        <v>-1.1782762655870634E-2</v>
      </c>
    </row>
    <row r="23" spans="1:31" x14ac:dyDescent="0.2">
      <c r="A23" t="s">
        <v>95</v>
      </c>
      <c r="B23">
        <v>8.6701746825163462E-2</v>
      </c>
      <c r="C23">
        <v>-5.6703134622472084E-4</v>
      </c>
      <c r="D23">
        <v>1.6974801391156672E-5</v>
      </c>
      <c r="E23">
        <v>-9.8042443667950042E-5</v>
      </c>
      <c r="F23">
        <v>-4.5647183533588289E-4</v>
      </c>
      <c r="G23">
        <v>-6.241767777210791E-4</v>
      </c>
      <c r="H23">
        <v>8.7146783320544985E-4</v>
      </c>
      <c r="I23">
        <v>4.6205862422348394E-4</v>
      </c>
      <c r="J23">
        <v>3.3013676795191089E-3</v>
      </c>
      <c r="K23">
        <v>6.5221650879995481E-6</v>
      </c>
      <c r="L23">
        <v>-3.4578855843234613E-6</v>
      </c>
      <c r="M23">
        <v>4.2515093999428828E-5</v>
      </c>
      <c r="N23">
        <v>8.7205857508986344E-3</v>
      </c>
      <c r="O23">
        <v>8.8345084832607036E-3</v>
      </c>
      <c r="P23">
        <v>8.5915073647771407E-3</v>
      </c>
      <c r="Q23">
        <v>8.6364325187945155E-3</v>
      </c>
      <c r="R23">
        <v>8.6562420721373271E-3</v>
      </c>
      <c r="S23">
        <v>8.600368352855256E-3</v>
      </c>
      <c r="T23">
        <v>8.5593118017193402E-3</v>
      </c>
      <c r="U23">
        <v>8.7648286556849461E-3</v>
      </c>
      <c r="V23">
        <v>8.836998239168125E-3</v>
      </c>
      <c r="W23">
        <v>8.8300476460560842E-3</v>
      </c>
      <c r="X23">
        <v>1.3905829675238519E-2</v>
      </c>
      <c r="Y23">
        <v>-3.2966464622147121E-5</v>
      </c>
      <c r="Z23">
        <v>-4.0508384543890864E-4</v>
      </c>
      <c r="AA23">
        <v>6.9756724827690041E-4</v>
      </c>
      <c r="AB23">
        <v>3.0331245538246982E-3</v>
      </c>
      <c r="AC23">
        <v>4.7401780451570711E-3</v>
      </c>
      <c r="AD23">
        <v>9.8440527922297812E-4</v>
      </c>
      <c r="AE23">
        <v>-9.419071549885482E-3</v>
      </c>
    </row>
    <row r="24" spans="1:31" x14ac:dyDescent="0.2">
      <c r="A24" t="s">
        <v>44</v>
      </c>
      <c r="B24">
        <v>4.4739101958901689E-3</v>
      </c>
      <c r="C24">
        <v>1.7816335366109984E-5</v>
      </c>
      <c r="D24">
        <v>1.719353986323884E-6</v>
      </c>
      <c r="E24">
        <v>-4.1754003198693935E-5</v>
      </c>
      <c r="F24">
        <v>-2.3920127318871728E-5</v>
      </c>
      <c r="G24">
        <v>6.2510485163258305E-5</v>
      </c>
      <c r="H24">
        <v>7.098993377080442E-6</v>
      </c>
      <c r="I24">
        <v>3.0530638910390557E-5</v>
      </c>
      <c r="J24">
        <v>5.0901750936705945E-6</v>
      </c>
      <c r="K24">
        <v>9.6892093278295603E-7</v>
      </c>
      <c r="L24">
        <v>2.042881087437861E-6</v>
      </c>
      <c r="M24">
        <v>8.8167270655532862E-7</v>
      </c>
      <c r="N24">
        <v>-1.5722576656119797E-5</v>
      </c>
      <c r="O24">
        <v>2.7917954839853584E-5</v>
      </c>
      <c r="P24">
        <v>3.6941936225668142E-7</v>
      </c>
      <c r="Q24">
        <v>-1.9586506119415622E-5</v>
      </c>
      <c r="R24">
        <v>-7.1446058972854127E-6</v>
      </c>
      <c r="S24">
        <v>2.1855792326880524E-5</v>
      </c>
      <c r="T24">
        <v>1.3781061725249351E-5</v>
      </c>
      <c r="U24">
        <v>4.5696094498446846E-5</v>
      </c>
      <c r="V24">
        <v>-4.6677830568995701E-6</v>
      </c>
      <c r="W24">
        <v>6.9101259493248627E-5</v>
      </c>
      <c r="X24">
        <v>-3.2966464622147121E-5</v>
      </c>
      <c r="Y24">
        <v>4.0234657222986789E-5</v>
      </c>
      <c r="Z24">
        <v>-1.7480776627746267E-4</v>
      </c>
      <c r="AA24">
        <v>-1.9978247887658625E-4</v>
      </c>
      <c r="AB24">
        <v>-4.7494588543880328E-5</v>
      </c>
      <c r="AC24">
        <v>-6.0071882771593646E-6</v>
      </c>
      <c r="AD24">
        <v>-2.5359132085602966E-5</v>
      </c>
      <c r="AE24">
        <v>-9.2365907844289157E-4</v>
      </c>
    </row>
    <row r="25" spans="1:31" x14ac:dyDescent="0.2">
      <c r="A25" t="s">
        <v>45</v>
      </c>
      <c r="B25">
        <v>6.5612972550692927E-2</v>
      </c>
      <c r="C25">
        <v>-1.044515318574064E-4</v>
      </c>
      <c r="D25">
        <v>1.9292154111525805E-5</v>
      </c>
      <c r="E25">
        <v>3.026843193372139E-5</v>
      </c>
      <c r="F25">
        <v>1.9099810471492461E-4</v>
      </c>
      <c r="G25">
        <v>-2.2431930711884485E-4</v>
      </c>
      <c r="H25">
        <v>2.5170834916713901E-4</v>
      </c>
      <c r="I25">
        <v>-1.3352130182301561E-4</v>
      </c>
      <c r="J25">
        <v>5.0690549455948992E-5</v>
      </c>
      <c r="K25">
        <v>-6.0269832972083319E-6</v>
      </c>
      <c r="L25">
        <v>-1.8656930647624915E-5</v>
      </c>
      <c r="M25">
        <v>-1.3640823109104179E-5</v>
      </c>
      <c r="N25">
        <v>-3.9258336460968463E-4</v>
      </c>
      <c r="O25">
        <v>-6.2146940058502124E-4</v>
      </c>
      <c r="P25">
        <v>-8.1613046402215336E-4</v>
      </c>
      <c r="Q25">
        <v>-6.6288369844168032E-4</v>
      </c>
      <c r="R25">
        <v>-5.4935761508681643E-4</v>
      </c>
      <c r="S25">
        <v>-7.1854355186487333E-4</v>
      </c>
      <c r="T25">
        <v>-7.5047732065047714E-4</v>
      </c>
      <c r="U25">
        <v>-1.2124446737829951E-3</v>
      </c>
      <c r="V25">
        <v>-5.4950890627692307E-4</v>
      </c>
      <c r="W25">
        <v>-9.864381629208622E-4</v>
      </c>
      <c r="X25">
        <v>-4.0508384543890864E-4</v>
      </c>
      <c r="Y25">
        <v>-1.7480776627746267E-4</v>
      </c>
      <c r="Z25">
        <v>7.788679197628259E-3</v>
      </c>
      <c r="AA25">
        <v>1.3589968654525752E-3</v>
      </c>
      <c r="AB25">
        <v>2.3748965606362272E-4</v>
      </c>
      <c r="AC25">
        <v>1.9582152181018306E-4</v>
      </c>
      <c r="AD25">
        <v>5.6052478271490761E-4</v>
      </c>
      <c r="AE25">
        <v>3.1778072403958945E-3</v>
      </c>
    </row>
    <row r="26" spans="1:31" x14ac:dyDescent="0.2">
      <c r="A26" t="s">
        <v>46</v>
      </c>
      <c r="B26">
        <v>2.5110521985122329E-3</v>
      </c>
      <c r="C26">
        <v>5.0287386656205156E-5</v>
      </c>
      <c r="D26">
        <v>3.656109712722795E-5</v>
      </c>
      <c r="E26">
        <v>-2.9338966742775501E-4</v>
      </c>
      <c r="F26">
        <v>-2.2612702060291148E-4</v>
      </c>
      <c r="G26">
        <v>-3.901549906831118E-4</v>
      </c>
      <c r="H26">
        <v>-7.3199595178544553E-4</v>
      </c>
      <c r="I26">
        <v>-1.1858653800537284E-4</v>
      </c>
      <c r="J26">
        <v>8.0883578638610797E-4</v>
      </c>
      <c r="K26">
        <v>-1.4228327153769698E-5</v>
      </c>
      <c r="L26">
        <v>1.6796073552138772E-6</v>
      </c>
      <c r="M26">
        <v>2.1614796757323401E-5</v>
      </c>
      <c r="N26">
        <v>6.5017550578166114E-4</v>
      </c>
      <c r="O26">
        <v>2.9614087909930775E-4</v>
      </c>
      <c r="P26">
        <v>-3.7092055697346437E-5</v>
      </c>
      <c r="Q26">
        <v>7.5394106452123357E-4</v>
      </c>
      <c r="R26">
        <v>7.6899865844448796E-4</v>
      </c>
      <c r="S26">
        <v>1.9290007634589654E-4</v>
      </c>
      <c r="T26">
        <v>2.1780839451868438E-4</v>
      </c>
      <c r="U26">
        <v>1.3172705688280586E-3</v>
      </c>
      <c r="V26">
        <v>1.41135880040816E-3</v>
      </c>
      <c r="W26">
        <v>-1.3226069242043082E-4</v>
      </c>
      <c r="X26">
        <v>6.9756724827690041E-4</v>
      </c>
      <c r="Y26">
        <v>-1.9978247887658625E-4</v>
      </c>
      <c r="Z26">
        <v>1.3589968654525752E-3</v>
      </c>
      <c r="AA26">
        <v>7.4665231606889995E-3</v>
      </c>
      <c r="AB26">
        <v>5.1907848222974514E-4</v>
      </c>
      <c r="AC26">
        <v>2.5665635960671947E-5</v>
      </c>
      <c r="AD26">
        <v>5.0893120624781961E-5</v>
      </c>
      <c r="AE26">
        <v>4.9527073513993972E-4</v>
      </c>
    </row>
    <row r="27" spans="1:31" x14ac:dyDescent="0.2">
      <c r="A27" t="s">
        <v>98</v>
      </c>
      <c r="B27">
        <v>7.3592577820675853E-3</v>
      </c>
      <c r="C27">
        <v>-4.1801436378172233E-4</v>
      </c>
      <c r="D27">
        <v>4.9589689822649797E-5</v>
      </c>
      <c r="E27">
        <v>2.025829730888096E-4</v>
      </c>
      <c r="F27">
        <v>-1.3430614297969758E-4</v>
      </c>
      <c r="G27">
        <v>-2.9847336911770781E-4</v>
      </c>
      <c r="H27">
        <v>3.7261808331419182E-4</v>
      </c>
      <c r="I27">
        <v>2.3240792338278333E-4</v>
      </c>
      <c r="J27">
        <v>1.0587035757038217E-3</v>
      </c>
      <c r="K27">
        <v>-1.6909154424571014E-6</v>
      </c>
      <c r="L27">
        <v>-1.8450426926273537E-6</v>
      </c>
      <c r="M27">
        <v>2.3248396064244737E-5</v>
      </c>
      <c r="N27">
        <v>2.7652849323898088E-3</v>
      </c>
      <c r="O27">
        <v>2.7104428405957757E-3</v>
      </c>
      <c r="P27">
        <v>2.9041097365277739E-3</v>
      </c>
      <c r="Q27">
        <v>1.7092086053833925E-3</v>
      </c>
      <c r="R27">
        <v>2.4456666211926685E-3</v>
      </c>
      <c r="S27">
        <v>2.5839038318967293E-3</v>
      </c>
      <c r="T27">
        <v>2.7670636499949634E-3</v>
      </c>
      <c r="U27">
        <v>3.0778412140359248E-3</v>
      </c>
      <c r="V27">
        <v>3.1499215501963719E-3</v>
      </c>
      <c r="W27">
        <v>3.0402782858679981E-3</v>
      </c>
      <c r="X27">
        <v>3.0331245538246982E-3</v>
      </c>
      <c r="Y27">
        <v>-4.7494588543880328E-5</v>
      </c>
      <c r="Z27">
        <v>2.3748965606362272E-4</v>
      </c>
      <c r="AA27">
        <v>5.1907848222974514E-4</v>
      </c>
      <c r="AB27">
        <v>1.9745619946676961E-2</v>
      </c>
      <c r="AC27">
        <v>1.7330889878852695E-3</v>
      </c>
      <c r="AD27">
        <v>3.0422513892985003E-4</v>
      </c>
      <c r="AE27">
        <v>-5.2888400952236167E-3</v>
      </c>
    </row>
    <row r="28" spans="1:31" x14ac:dyDescent="0.2">
      <c r="A28" t="s">
        <v>99</v>
      </c>
      <c r="B28">
        <v>-0.23098139711622473</v>
      </c>
      <c r="C28">
        <v>8.176311861370631E-5</v>
      </c>
      <c r="D28">
        <v>8.5234331227560575E-6</v>
      </c>
      <c r="E28">
        <v>-2.8901265125895253E-4</v>
      </c>
      <c r="F28">
        <v>-2.7021739027463477E-4</v>
      </c>
      <c r="G28">
        <v>-2.6500858079670474E-4</v>
      </c>
      <c r="H28">
        <v>5.8979586596379086E-4</v>
      </c>
      <c r="I28">
        <v>1.7727059974100598E-5</v>
      </c>
      <c r="J28">
        <v>-1.9698405328071765E-3</v>
      </c>
      <c r="K28">
        <v>3.7205927295593346E-6</v>
      </c>
      <c r="L28">
        <v>-1.3933772411130679E-5</v>
      </c>
      <c r="M28">
        <v>2.427414460820008E-5</v>
      </c>
      <c r="N28">
        <v>4.8688697228542934E-3</v>
      </c>
      <c r="O28">
        <v>4.8398906096306102E-3</v>
      </c>
      <c r="P28">
        <v>4.6921908562156615E-3</v>
      </c>
      <c r="Q28">
        <v>4.6844614763202896E-3</v>
      </c>
      <c r="R28">
        <v>4.0600726408760142E-3</v>
      </c>
      <c r="S28">
        <v>4.3124524427529372E-3</v>
      </c>
      <c r="T28">
        <v>4.2660144531325977E-3</v>
      </c>
      <c r="U28">
        <v>4.5280601506922404E-3</v>
      </c>
      <c r="V28">
        <v>4.7524768266033867E-3</v>
      </c>
      <c r="W28">
        <v>4.8567000263314321E-3</v>
      </c>
      <c r="X28">
        <v>4.7401780451570711E-3</v>
      </c>
      <c r="Y28">
        <v>-6.0071882771593646E-6</v>
      </c>
      <c r="Z28">
        <v>1.9582152181018306E-4</v>
      </c>
      <c r="AA28">
        <v>2.5665635960671947E-5</v>
      </c>
      <c r="AB28">
        <v>1.7330889878852695E-3</v>
      </c>
      <c r="AC28">
        <v>2.308106527751734E-2</v>
      </c>
      <c r="AD28">
        <v>9.6405623494948427E-4</v>
      </c>
      <c r="AE28">
        <v>-4.7697648404916963E-3</v>
      </c>
    </row>
    <row r="29" spans="1:31" x14ac:dyDescent="0.2">
      <c r="A29" t="s">
        <v>100</v>
      </c>
      <c r="B29">
        <v>-5.1366166357243665E-3</v>
      </c>
      <c r="C29">
        <v>4.8143218447137498E-4</v>
      </c>
      <c r="D29">
        <v>-6.94747795839146E-5</v>
      </c>
      <c r="E29">
        <v>-7.4610736029815804E-4</v>
      </c>
      <c r="F29">
        <v>-6.2941810873908758E-4</v>
      </c>
      <c r="G29">
        <v>-1.0387211319741157E-3</v>
      </c>
      <c r="H29">
        <v>2.6556156047028237E-4</v>
      </c>
      <c r="I29">
        <v>-5.8379105376340837E-5</v>
      </c>
      <c r="J29">
        <v>-2.2074218812947102E-3</v>
      </c>
      <c r="K29">
        <v>5.2278493061043528E-5</v>
      </c>
      <c r="L29">
        <v>-2.7368298128707728E-5</v>
      </c>
      <c r="M29">
        <v>-1.8620620163825239E-5</v>
      </c>
      <c r="N29">
        <v>7.4276449223901076E-4</v>
      </c>
      <c r="O29">
        <v>8.9266422744085721E-4</v>
      </c>
      <c r="P29">
        <v>-1.4033616868129619E-3</v>
      </c>
      <c r="Q29">
        <v>8.2130705702146379E-4</v>
      </c>
      <c r="R29">
        <v>7.1325899412350252E-4</v>
      </c>
      <c r="S29">
        <v>7.0908013100865603E-4</v>
      </c>
      <c r="T29">
        <v>-3.8751697659969247E-5</v>
      </c>
      <c r="U29">
        <v>-1.4687629198212023E-4</v>
      </c>
      <c r="V29">
        <v>6.8329221932357412E-4</v>
      </c>
      <c r="W29">
        <v>1.5827442598889772E-4</v>
      </c>
      <c r="X29">
        <v>9.8440527922297812E-4</v>
      </c>
      <c r="Y29">
        <v>-2.5359132085602966E-5</v>
      </c>
      <c r="Z29">
        <v>5.6052478271490761E-4</v>
      </c>
      <c r="AA29">
        <v>5.0893120624781961E-5</v>
      </c>
      <c r="AB29">
        <v>3.0422513892985003E-4</v>
      </c>
      <c r="AC29">
        <v>9.6405623494948427E-4</v>
      </c>
      <c r="AD29">
        <v>4.6241922457798026E-2</v>
      </c>
      <c r="AE29">
        <v>3.5194350498293542E-3</v>
      </c>
    </row>
    <row r="30" spans="1:31" x14ac:dyDescent="0.2">
      <c r="A30" t="s">
        <v>47</v>
      </c>
      <c r="B30">
        <v>9.1092833095279175</v>
      </c>
      <c r="C30">
        <v>3.8211064121042694E-4</v>
      </c>
      <c r="D30">
        <v>-1.5378982261401598E-3</v>
      </c>
      <c r="E30">
        <v>-4.5173405338944251E-3</v>
      </c>
      <c r="F30">
        <v>-4.9089278288948976E-3</v>
      </c>
      <c r="G30">
        <v>-1.076764837670505E-2</v>
      </c>
      <c r="H30">
        <v>-1.0077086199776791E-2</v>
      </c>
      <c r="I30">
        <v>-1.6707630611913129E-3</v>
      </c>
      <c r="J30">
        <v>-9.1069561281141263E-3</v>
      </c>
      <c r="K30">
        <v>-3.2081013239504299E-4</v>
      </c>
      <c r="L30">
        <v>-4.0925032034199555E-4</v>
      </c>
      <c r="M30">
        <v>-2.505809958468178E-4</v>
      </c>
      <c r="N30">
        <v>-1.0773681409469701E-2</v>
      </c>
      <c r="O30">
        <v>-9.900856768710567E-3</v>
      </c>
      <c r="P30">
        <v>-9.7587488718365242E-3</v>
      </c>
      <c r="Q30">
        <v>-8.9142349093196717E-3</v>
      </c>
      <c r="R30">
        <v>-8.8057552264393692E-3</v>
      </c>
      <c r="S30">
        <v>-1.0335359318745697E-2</v>
      </c>
      <c r="T30">
        <v>-7.7924120663597773E-3</v>
      </c>
      <c r="U30">
        <v>-9.6971454856491154E-3</v>
      </c>
      <c r="V30">
        <v>-8.4335892990939736E-3</v>
      </c>
      <c r="W30">
        <v>-1.1782762655870634E-2</v>
      </c>
      <c r="X30">
        <v>-9.419071549885482E-3</v>
      </c>
      <c r="Y30">
        <v>-9.2365907844289157E-4</v>
      </c>
      <c r="Z30">
        <v>3.1778072403958945E-3</v>
      </c>
      <c r="AA30">
        <v>4.9527073513993972E-4</v>
      </c>
      <c r="AB30">
        <v>-5.2888400952236167E-3</v>
      </c>
      <c r="AC30">
        <v>-4.7697648404916963E-3</v>
      </c>
      <c r="AD30">
        <v>3.5194350498293542E-3</v>
      </c>
      <c r="AE30">
        <v>0.1668507404925243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Q42"/>
  <sheetViews>
    <sheetView tabSelected="1" topLeftCell="T1" workbookViewId="0">
      <selection activeCell="AK1" sqref="AK1"/>
    </sheetView>
  </sheetViews>
  <sheetFormatPr baseColWidth="10" defaultColWidth="8.83203125" defaultRowHeight="15" x14ac:dyDescent="0.2"/>
  <sheetData>
    <row r="1" spans="1:43" x14ac:dyDescent="0.2">
      <c r="A1" t="s">
        <v>19</v>
      </c>
      <c r="B1" t="s">
        <v>20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72</v>
      </c>
      <c r="K1" t="s">
        <v>74</v>
      </c>
      <c r="L1" t="s">
        <v>73</v>
      </c>
      <c r="M1" t="s">
        <v>75</v>
      </c>
      <c r="N1" t="s">
        <v>76</v>
      </c>
      <c r="O1" t="s">
        <v>77</v>
      </c>
      <c r="P1" t="s">
        <v>78</v>
      </c>
      <c r="Q1" t="s">
        <v>79</v>
      </c>
      <c r="R1" t="s">
        <v>106</v>
      </c>
      <c r="S1" t="s">
        <v>102</v>
      </c>
      <c r="T1" t="s">
        <v>80</v>
      </c>
      <c r="U1" t="s">
        <v>81</v>
      </c>
      <c r="V1" t="s">
        <v>82</v>
      </c>
      <c r="W1" t="s">
        <v>83</v>
      </c>
      <c r="X1" t="s">
        <v>84</v>
      </c>
      <c r="Y1" t="s">
        <v>107</v>
      </c>
      <c r="Z1" t="s">
        <v>85</v>
      </c>
      <c r="AA1" t="s">
        <v>86</v>
      </c>
      <c r="AB1" t="s">
        <v>87</v>
      </c>
      <c r="AC1" t="s">
        <v>88</v>
      </c>
      <c r="AD1" t="s">
        <v>89</v>
      </c>
      <c r="AE1" t="s">
        <v>90</v>
      </c>
      <c r="AF1" t="s">
        <v>91</v>
      </c>
      <c r="AG1" t="s">
        <v>92</v>
      </c>
      <c r="AH1" t="s">
        <v>93</v>
      </c>
      <c r="AI1" t="s">
        <v>94</v>
      </c>
      <c r="AJ1" t="s">
        <v>95</v>
      </c>
      <c r="AK1" t="s">
        <v>110</v>
      </c>
      <c r="AL1" t="s">
        <v>96</v>
      </c>
      <c r="AM1" t="s">
        <v>97</v>
      </c>
      <c r="AN1" t="s">
        <v>98</v>
      </c>
      <c r="AO1" t="s">
        <v>99</v>
      </c>
      <c r="AP1" t="s">
        <v>100</v>
      </c>
      <c r="AQ1" t="s">
        <v>47</v>
      </c>
    </row>
    <row r="2" spans="1:43" x14ac:dyDescent="0.2">
      <c r="A2" t="s">
        <v>65</v>
      </c>
      <c r="B2">
        <v>0.21420725256600995</v>
      </c>
      <c r="C2">
        <v>5.5006250353348994E-3</v>
      </c>
      <c r="D2">
        <v>1.0437531565026888E-4</v>
      </c>
      <c r="E2">
        <v>1.1381083108722573E-5</v>
      </c>
      <c r="F2">
        <v>-1.1376511761780894E-7</v>
      </c>
      <c r="G2">
        <v>1.6855851282153844E-6</v>
      </c>
      <c r="H2">
        <v>-1.4793554993546741E-8</v>
      </c>
      <c r="I2">
        <v>1.9212086061747001E-6</v>
      </c>
      <c r="J2">
        <v>1.510849328778359E-5</v>
      </c>
      <c r="K2">
        <v>7.4411551923688237E-7</v>
      </c>
      <c r="L2">
        <v>1.7812894015619363E-6</v>
      </c>
      <c r="M2">
        <v>-2.1249839681256192E-3</v>
      </c>
      <c r="N2">
        <v>-3.7443760037624756E-5</v>
      </c>
      <c r="O2">
        <v>-1.7951590297656609E-5</v>
      </c>
      <c r="P2">
        <v>-2.3320289427729007E-6</v>
      </c>
      <c r="Q2">
        <v>5.3071993777096022E-6</v>
      </c>
      <c r="R2">
        <v>2.395394962697668E-4</v>
      </c>
      <c r="S2">
        <v>2.7254599888409102E-4</v>
      </c>
      <c r="T2">
        <v>-2.9069658666828222E-5</v>
      </c>
      <c r="U2">
        <v>9.4949058784022993E-5</v>
      </c>
      <c r="V2">
        <v>1.2559273250367946E-4</v>
      </c>
      <c r="W2">
        <v>-4.6086985101986365E-5</v>
      </c>
      <c r="X2">
        <v>6.3737241146669449E-5</v>
      </c>
      <c r="Y2">
        <v>-7.8446208379847341E-5</v>
      </c>
      <c r="Z2">
        <v>-1.1421268311127372E-4</v>
      </c>
      <c r="AA2">
        <v>-7.1157356876332681E-5</v>
      </c>
      <c r="AB2">
        <v>-9.5827275323271332E-5</v>
      </c>
      <c r="AC2">
        <v>-7.5239724229957502E-5</v>
      </c>
      <c r="AD2">
        <v>-9.2088124658896991E-5</v>
      </c>
      <c r="AE2">
        <v>-1.0053749928422428E-4</v>
      </c>
      <c r="AF2">
        <v>-7.2673065498201657E-5</v>
      </c>
      <c r="AG2">
        <v>-8.2670601835325167E-5</v>
      </c>
      <c r="AH2">
        <v>-9.8637385516059503E-5</v>
      </c>
      <c r="AI2">
        <v>-8.7011230736958034E-5</v>
      </c>
      <c r="AJ2">
        <v>-8.8532193210754469E-5</v>
      </c>
      <c r="AK2">
        <v>2.1242777674462598E-6</v>
      </c>
      <c r="AL2">
        <v>4.5934602093939231E-5</v>
      </c>
      <c r="AM2">
        <v>2.0112865410947097E-5</v>
      </c>
      <c r="AN2">
        <v>-3.7968974708485541E-5</v>
      </c>
      <c r="AO2">
        <v>-4.4799440791601342E-5</v>
      </c>
      <c r="AP2">
        <v>1.4140824607309732E-5</v>
      </c>
      <c r="AQ2">
        <v>-6.696433259138425E-4</v>
      </c>
    </row>
    <row r="3" spans="1:43" x14ac:dyDescent="0.2">
      <c r="A3" t="s">
        <v>66</v>
      </c>
      <c r="B3">
        <v>-5.6755812572368836E-2</v>
      </c>
      <c r="C3">
        <v>1.0437531565026888E-4</v>
      </c>
      <c r="D3">
        <v>2.6559534608232402E-4</v>
      </c>
      <c r="E3">
        <v>2.394215607862921E-6</v>
      </c>
      <c r="F3">
        <v>-2.2430029866600205E-8</v>
      </c>
      <c r="G3">
        <v>-2.8477599252060975E-7</v>
      </c>
      <c r="H3">
        <v>-9.3725360205795447E-7</v>
      </c>
      <c r="I3">
        <v>-2.3937802780963747E-6</v>
      </c>
      <c r="J3">
        <v>-3.0704306378974826E-5</v>
      </c>
      <c r="K3">
        <v>-1.9048570566787303E-6</v>
      </c>
      <c r="L3">
        <v>-2.7785157888670605E-6</v>
      </c>
      <c r="M3">
        <v>-2.4540017160883722E-4</v>
      </c>
      <c r="N3">
        <v>-2.2482875971773102E-7</v>
      </c>
      <c r="O3">
        <v>-1.1886240941905764E-7</v>
      </c>
      <c r="P3">
        <v>6.8650970899261353E-7</v>
      </c>
      <c r="Q3">
        <v>5.7708739240702385E-7</v>
      </c>
      <c r="R3">
        <v>-1.4602148437456147E-5</v>
      </c>
      <c r="S3">
        <v>-1.8426353221950579E-5</v>
      </c>
      <c r="T3">
        <v>-2.2591876285563186E-4</v>
      </c>
      <c r="U3">
        <v>-2.2909428696209222E-4</v>
      </c>
      <c r="V3">
        <v>-2.2585382704653847E-4</v>
      </c>
      <c r="W3">
        <v>-2.0338289713794505E-6</v>
      </c>
      <c r="X3">
        <v>2.5054274623655384E-5</v>
      </c>
      <c r="Y3">
        <v>7.9156897697053952E-5</v>
      </c>
      <c r="Z3">
        <v>-1.8098109258137722E-7</v>
      </c>
      <c r="AA3">
        <v>9.1584062680575488E-7</v>
      </c>
      <c r="AB3">
        <v>1.3378983637464889E-6</v>
      </c>
      <c r="AC3">
        <v>-6.1549162901437717E-6</v>
      </c>
      <c r="AD3">
        <v>-8.3535787507535994E-7</v>
      </c>
      <c r="AE3">
        <v>-7.1303797812851094E-6</v>
      </c>
      <c r="AF3">
        <v>1.7914994149075445E-6</v>
      </c>
      <c r="AG3">
        <v>7.4404253121121043E-7</v>
      </c>
      <c r="AH3">
        <v>-2.1933938398713032E-6</v>
      </c>
      <c r="AI3">
        <v>-3.7691569786691152E-6</v>
      </c>
      <c r="AJ3">
        <v>-1.9807470213305218E-5</v>
      </c>
      <c r="AK3">
        <v>-3.1387158172278487E-7</v>
      </c>
      <c r="AL3">
        <v>9.9054124717468985E-7</v>
      </c>
      <c r="AM3">
        <v>4.1628249799543328E-6</v>
      </c>
      <c r="AN3">
        <v>1.3091236096192686E-5</v>
      </c>
      <c r="AO3">
        <v>-2.2210525684467493E-5</v>
      </c>
      <c r="AP3">
        <v>-1.2024614163152503E-5</v>
      </c>
      <c r="AQ3">
        <v>1.4698695378501629E-4</v>
      </c>
    </row>
    <row r="4" spans="1:43" x14ac:dyDescent="0.2">
      <c r="A4" t="s">
        <v>67</v>
      </c>
      <c r="B4">
        <v>-1.4317051818452494E-2</v>
      </c>
      <c r="C4">
        <v>1.1381083108722573E-5</v>
      </c>
      <c r="D4">
        <v>2.394215607862921E-6</v>
      </c>
      <c r="E4">
        <v>7.3429199876308856E-6</v>
      </c>
      <c r="F4">
        <v>-6.7980000989226079E-8</v>
      </c>
      <c r="G4">
        <v>4.0355518499735323E-8</v>
      </c>
      <c r="H4">
        <v>2.9378808216002593E-8</v>
      </c>
      <c r="I4">
        <v>-6.2259647238587855E-7</v>
      </c>
      <c r="J4">
        <v>-1.9567822429360296E-6</v>
      </c>
      <c r="K4">
        <v>-1.7064950632767539E-6</v>
      </c>
      <c r="L4">
        <v>-6.8573771924130167E-7</v>
      </c>
      <c r="M4">
        <v>-3.301353775877347E-6</v>
      </c>
      <c r="N4">
        <v>2.3086369990267742E-7</v>
      </c>
      <c r="O4">
        <v>1.615724039681609E-8</v>
      </c>
      <c r="P4">
        <v>-1.4561781851029701E-6</v>
      </c>
      <c r="Q4">
        <v>1.6012757025204026E-6</v>
      </c>
      <c r="R4">
        <v>1.4529090714096875E-6</v>
      </c>
      <c r="S4">
        <v>3.8577225292434536E-8</v>
      </c>
      <c r="T4">
        <v>1.4331692953639438E-5</v>
      </c>
      <c r="U4">
        <v>-1.9662884312818524E-5</v>
      </c>
      <c r="V4">
        <v>-1.367408558578178E-5</v>
      </c>
      <c r="W4">
        <v>4.6946302475952093E-6</v>
      </c>
      <c r="X4">
        <v>1.416643268726608E-5</v>
      </c>
      <c r="Y4">
        <v>8.9092765839715077E-6</v>
      </c>
      <c r="Z4">
        <v>-1.554596129123894E-6</v>
      </c>
      <c r="AA4">
        <v>3.4846522937231683E-7</v>
      </c>
      <c r="AB4">
        <v>9.6370427078295174E-7</v>
      </c>
      <c r="AC4">
        <v>4.9853983264894078E-7</v>
      </c>
      <c r="AD4">
        <v>8.3669657006289137E-7</v>
      </c>
      <c r="AE4">
        <v>5.8390579298937882E-7</v>
      </c>
      <c r="AF4">
        <v>-9.6135341551310875E-8</v>
      </c>
      <c r="AG4">
        <v>-8.0639143352826244E-7</v>
      </c>
      <c r="AH4">
        <v>-1.2564621899193557E-7</v>
      </c>
      <c r="AI4">
        <v>-2.3204536483603503E-6</v>
      </c>
      <c r="AJ4">
        <v>-2.457874486515028E-6</v>
      </c>
      <c r="AK4">
        <v>-2.5931505465958877E-7</v>
      </c>
      <c r="AL4">
        <v>3.95907992393712E-7</v>
      </c>
      <c r="AM4">
        <v>4.9511357453680632E-7</v>
      </c>
      <c r="AN4">
        <v>3.5687114900013995E-7</v>
      </c>
      <c r="AO4">
        <v>-6.7379392740686658E-6</v>
      </c>
      <c r="AP4">
        <v>-2.1148259407561304E-6</v>
      </c>
      <c r="AQ4">
        <v>-1.5701556593540017E-4</v>
      </c>
    </row>
    <row r="5" spans="1:43" x14ac:dyDescent="0.2">
      <c r="A5" t="s">
        <v>68</v>
      </c>
      <c r="B5">
        <v>2.3304200748031195E-4</v>
      </c>
      <c r="C5">
        <v>-1.1376511761780894E-7</v>
      </c>
      <c r="D5">
        <v>-2.2430029866600205E-8</v>
      </c>
      <c r="E5">
        <v>-6.7980000989226079E-8</v>
      </c>
      <c r="F5">
        <v>6.7981970889275484E-10</v>
      </c>
      <c r="G5">
        <v>7.5750406959138317E-10</v>
      </c>
      <c r="H5">
        <v>-6.340645649220876E-10</v>
      </c>
      <c r="I5">
        <v>4.5436294816930465E-9</v>
      </c>
      <c r="J5">
        <v>1.5078994017759816E-8</v>
      </c>
      <c r="K5">
        <v>1.4617842446491825E-8</v>
      </c>
      <c r="L5">
        <v>4.2669647541996412E-9</v>
      </c>
      <c r="M5">
        <v>2.8459479566935564E-8</v>
      </c>
      <c r="N5">
        <v>-2.5353770636977919E-9</v>
      </c>
      <c r="O5">
        <v>3.7536318935389561E-10</v>
      </c>
      <c r="P5">
        <v>1.5669617265479443E-8</v>
      </c>
      <c r="Q5">
        <v>-7.4931651069862758E-9</v>
      </c>
      <c r="R5">
        <v>-5.8347910468984652E-8</v>
      </c>
      <c r="S5">
        <v>-8.6718454355771177E-9</v>
      </c>
      <c r="T5">
        <v>-9.6323541386479626E-8</v>
      </c>
      <c r="U5">
        <v>1.71577242304123E-7</v>
      </c>
      <c r="V5">
        <v>-2.723949485050953E-8</v>
      </c>
      <c r="W5">
        <v>-1.6466297417919758E-8</v>
      </c>
      <c r="X5">
        <v>-1.2477902956502138E-7</v>
      </c>
      <c r="Y5">
        <v>-5.0291488935940894E-8</v>
      </c>
      <c r="Z5">
        <v>1.3240508861791988E-8</v>
      </c>
      <c r="AA5">
        <v>-9.555898686573974E-11</v>
      </c>
      <c r="AB5">
        <v>-5.6011919666030592E-9</v>
      </c>
      <c r="AC5">
        <v>-6.8625413909345598E-10</v>
      </c>
      <c r="AD5">
        <v>-4.3068129242298821E-9</v>
      </c>
      <c r="AE5">
        <v>-5.2950621224336978E-9</v>
      </c>
      <c r="AF5">
        <v>1.7991213324378967E-9</v>
      </c>
      <c r="AG5">
        <v>3.0691215779154671E-9</v>
      </c>
      <c r="AH5">
        <v>-2.1816307333267353E-9</v>
      </c>
      <c r="AI5">
        <v>2.1199968749848828E-8</v>
      </c>
      <c r="AJ5">
        <v>1.6332819942155062E-8</v>
      </c>
      <c r="AK5">
        <v>8.8507984340377472E-10</v>
      </c>
      <c r="AL5">
        <v>-6.1246716461831329E-9</v>
      </c>
      <c r="AM5">
        <v>-8.3301074122231953E-9</v>
      </c>
      <c r="AN5">
        <v>1.3231324660917103E-8</v>
      </c>
      <c r="AO5">
        <v>5.0052533192153479E-8</v>
      </c>
      <c r="AP5">
        <v>1.8985557644130827E-8</v>
      </c>
      <c r="AQ5">
        <v>1.3581346015629874E-6</v>
      </c>
    </row>
    <row r="6" spans="1:43" x14ac:dyDescent="0.2">
      <c r="A6" t="s">
        <v>69</v>
      </c>
      <c r="B6">
        <v>1.26318043573774E-2</v>
      </c>
      <c r="C6">
        <v>1.6855851282153844E-6</v>
      </c>
      <c r="D6">
        <v>-2.8477599252060975E-7</v>
      </c>
      <c r="E6">
        <v>4.0355518499735323E-8</v>
      </c>
      <c r="F6">
        <v>7.5750406959138317E-10</v>
      </c>
      <c r="G6">
        <v>6.1042651872740549E-7</v>
      </c>
      <c r="H6">
        <v>1.4423510972756691E-9</v>
      </c>
      <c r="I6">
        <v>-7.1980908643358037E-8</v>
      </c>
      <c r="J6">
        <v>-1.0702691086691396E-7</v>
      </c>
      <c r="K6">
        <v>-1.6326250513221885E-7</v>
      </c>
      <c r="L6">
        <v>-7.6820801025752888E-8</v>
      </c>
      <c r="M6">
        <v>-2.9793654134081602E-7</v>
      </c>
      <c r="N6">
        <v>-1.922301176853924E-7</v>
      </c>
      <c r="O6">
        <v>1.7438813485077648E-7</v>
      </c>
      <c r="P6">
        <v>1.4750597854821428E-7</v>
      </c>
      <c r="Q6">
        <v>4.3694212875857553E-8</v>
      </c>
      <c r="R6">
        <v>1.797679052662315E-6</v>
      </c>
      <c r="S6">
        <v>1.034204056193091E-6</v>
      </c>
      <c r="T6">
        <v>-3.2664790561998492E-7</v>
      </c>
      <c r="U6">
        <v>1.1344675161473662E-6</v>
      </c>
      <c r="V6">
        <v>-4.7619299849951142E-7</v>
      </c>
      <c r="W6">
        <v>1.5898011728222477E-7</v>
      </c>
      <c r="X6">
        <v>5.125306172727164E-7</v>
      </c>
      <c r="Y6">
        <v>6.2787073448279214E-7</v>
      </c>
      <c r="Z6">
        <v>4.030904303581338E-7</v>
      </c>
      <c r="AA6">
        <v>7.3225119547388344E-7</v>
      </c>
      <c r="AB6">
        <v>9.7215629750651126E-7</v>
      </c>
      <c r="AC6">
        <v>7.628722424477084E-7</v>
      </c>
      <c r="AD6">
        <v>7.0061153935674248E-7</v>
      </c>
      <c r="AE6">
        <v>3.8823774546283655E-7</v>
      </c>
      <c r="AF6">
        <v>-3.3776980628943065E-7</v>
      </c>
      <c r="AG6">
        <v>2.3554076066913841E-7</v>
      </c>
      <c r="AH6">
        <v>9.2887171548497433E-7</v>
      </c>
      <c r="AI6">
        <v>5.4306239848265304E-7</v>
      </c>
      <c r="AJ6">
        <v>7.8911258591106526E-7</v>
      </c>
      <c r="AK6">
        <v>1.5413710664726326E-8</v>
      </c>
      <c r="AL6">
        <v>6.6669221522357841E-8</v>
      </c>
      <c r="AM6">
        <v>-2.4469509811694705E-7</v>
      </c>
      <c r="AN6">
        <v>1.6184588828125371E-6</v>
      </c>
      <c r="AO6">
        <v>-6.2334910842302125E-7</v>
      </c>
      <c r="AP6">
        <v>-4.0754568245649933E-7</v>
      </c>
      <c r="AQ6">
        <v>-3.5052312382046346E-5</v>
      </c>
    </row>
    <row r="7" spans="1:43" x14ac:dyDescent="0.2">
      <c r="A7" t="s">
        <v>70</v>
      </c>
      <c r="B7">
        <v>5.2351586427072704E-3</v>
      </c>
      <c r="C7">
        <v>-1.4793554993546741E-8</v>
      </c>
      <c r="D7">
        <v>-9.3725360205795447E-7</v>
      </c>
      <c r="E7">
        <v>2.9378808216002593E-8</v>
      </c>
      <c r="F7">
        <v>-6.340645649220876E-10</v>
      </c>
      <c r="G7">
        <v>1.4423510972756691E-9</v>
      </c>
      <c r="H7">
        <v>6.0876461702255657E-7</v>
      </c>
      <c r="I7">
        <v>-5.0359568658987547E-8</v>
      </c>
      <c r="J7">
        <v>-6.3400724395613175E-8</v>
      </c>
      <c r="K7">
        <v>-2.9845651886391305E-8</v>
      </c>
      <c r="L7">
        <v>-1.0144016802862682E-7</v>
      </c>
      <c r="M7">
        <v>7.3201837827613052E-7</v>
      </c>
      <c r="N7">
        <v>3.3470041077072942E-7</v>
      </c>
      <c r="O7">
        <v>-4.3650895609707268E-7</v>
      </c>
      <c r="P7">
        <v>9.045959928508779E-8</v>
      </c>
      <c r="Q7">
        <v>1.7898863706996934E-7</v>
      </c>
      <c r="R7">
        <v>4.0198823116187213E-8</v>
      </c>
      <c r="S7">
        <v>-2.7997055040386274E-7</v>
      </c>
      <c r="T7">
        <v>1.119234604045589E-6</v>
      </c>
      <c r="U7">
        <v>2.5517758252486721E-6</v>
      </c>
      <c r="V7">
        <v>-9.4416182829226556E-7</v>
      </c>
      <c r="W7">
        <v>5.3700113455775191E-10</v>
      </c>
      <c r="X7">
        <v>7.3225870197103494E-7</v>
      </c>
      <c r="Y7">
        <v>1.5254149560822802E-6</v>
      </c>
      <c r="Z7">
        <v>5.2327896348357932E-7</v>
      </c>
      <c r="AA7">
        <v>2.5450904438992573E-7</v>
      </c>
      <c r="AB7">
        <v>-3.9829251870862885E-8</v>
      </c>
      <c r="AC7">
        <v>-7.137033088077325E-8</v>
      </c>
      <c r="AD7">
        <v>3.6730068650807748E-7</v>
      </c>
      <c r="AE7">
        <v>3.5085484971269978E-8</v>
      </c>
      <c r="AF7">
        <v>2.4351785901725064E-8</v>
      </c>
      <c r="AG7">
        <v>2.0164206012560356E-7</v>
      </c>
      <c r="AH7">
        <v>3.809246373009393E-7</v>
      </c>
      <c r="AI7">
        <v>-2.4718676895659264E-7</v>
      </c>
      <c r="AJ7">
        <v>5.5865642568177264E-8</v>
      </c>
      <c r="AK7">
        <v>1.1797341635898537E-7</v>
      </c>
      <c r="AL7">
        <v>5.6121651134422984E-7</v>
      </c>
      <c r="AM7">
        <v>4.3023389352622001E-7</v>
      </c>
      <c r="AN7">
        <v>-4.7119652884156698E-7</v>
      </c>
      <c r="AO7">
        <v>-1.2689232626036869E-6</v>
      </c>
      <c r="AP7">
        <v>1.3255535088321506E-7</v>
      </c>
      <c r="AQ7">
        <v>-3.0952883029432165E-5</v>
      </c>
    </row>
    <row r="8" spans="1:43" x14ac:dyDescent="0.2">
      <c r="A8" t="s">
        <v>71</v>
      </c>
      <c r="B8">
        <v>0.35965781029590488</v>
      </c>
      <c r="C8">
        <v>1.9212086061747001E-6</v>
      </c>
      <c r="D8">
        <v>-2.3937802780963747E-6</v>
      </c>
      <c r="E8">
        <v>-6.2259647238587855E-7</v>
      </c>
      <c r="F8">
        <v>4.5436294816930465E-9</v>
      </c>
      <c r="G8">
        <v>-7.1980908643358037E-8</v>
      </c>
      <c r="H8">
        <v>-5.0359568658987547E-8</v>
      </c>
      <c r="I8">
        <v>1.1996196708693786E-5</v>
      </c>
      <c r="J8">
        <v>-2.1635127524768717E-8</v>
      </c>
      <c r="K8">
        <v>-6.3424973495604425E-8</v>
      </c>
      <c r="L8">
        <v>-1.4334736915578272E-6</v>
      </c>
      <c r="M8">
        <v>2.2936959432328819E-6</v>
      </c>
      <c r="N8">
        <v>1.5581670096447305E-7</v>
      </c>
      <c r="O8">
        <v>9.2737769780053012E-8</v>
      </c>
      <c r="P8">
        <v>-1.1674207196731012E-5</v>
      </c>
      <c r="Q8">
        <v>6.9302771386234341E-7</v>
      </c>
      <c r="R8">
        <v>3.183513635389205E-6</v>
      </c>
      <c r="S8">
        <v>1.4148468876546653E-6</v>
      </c>
      <c r="T8">
        <v>-8.6095566526871356E-6</v>
      </c>
      <c r="U8">
        <v>7.815543110502132E-7</v>
      </c>
      <c r="V8">
        <v>-5.3358540216019821E-6</v>
      </c>
      <c r="W8">
        <v>1.3650467540881133E-6</v>
      </c>
      <c r="X8">
        <v>4.6657382723220177E-8</v>
      </c>
      <c r="Y8">
        <v>-1.0066103296157126E-5</v>
      </c>
      <c r="Z8">
        <v>-6.1015386470842303E-7</v>
      </c>
      <c r="AA8">
        <v>-2.4822859550268475E-6</v>
      </c>
      <c r="AB8">
        <v>-1.6666009619943483E-6</v>
      </c>
      <c r="AC8">
        <v>-8.9009357384813043E-7</v>
      </c>
      <c r="AD8">
        <v>-2.4152703068588792E-6</v>
      </c>
      <c r="AE8">
        <v>-8.7829517724221087E-7</v>
      </c>
      <c r="AF8">
        <v>-8.2109043944235195E-7</v>
      </c>
      <c r="AG8">
        <v>-2.0789955804540736E-6</v>
      </c>
      <c r="AH8">
        <v>-7.7537424626283579E-7</v>
      </c>
      <c r="AI8">
        <v>-8.0196696430397633E-7</v>
      </c>
      <c r="AJ8">
        <v>-8.9387260280772645E-7</v>
      </c>
      <c r="AK8">
        <v>2.7364531765809846E-7</v>
      </c>
      <c r="AL8">
        <v>-6.4925914044369506E-8</v>
      </c>
      <c r="AM8">
        <v>-1.5147743887147257E-6</v>
      </c>
      <c r="AN8">
        <v>-2.7700145417977846E-6</v>
      </c>
      <c r="AO8">
        <v>1.7016176803825926E-6</v>
      </c>
      <c r="AP8">
        <v>-1.4628911999215237E-6</v>
      </c>
      <c r="AQ8">
        <v>8.1090863422594409E-6</v>
      </c>
    </row>
    <row r="9" spans="1:43" x14ac:dyDescent="0.2">
      <c r="A9" t="s">
        <v>72</v>
      </c>
      <c r="B9">
        <v>7.0213024123215478E-2</v>
      </c>
      <c r="C9">
        <v>1.510849328778359E-5</v>
      </c>
      <c r="D9">
        <v>-3.0704306378974826E-5</v>
      </c>
      <c r="E9">
        <v>-1.9567822429360296E-6</v>
      </c>
      <c r="F9">
        <v>1.5078994017759816E-8</v>
      </c>
      <c r="G9">
        <v>-1.0702691086691396E-7</v>
      </c>
      <c r="H9">
        <v>-6.3400724395613175E-8</v>
      </c>
      <c r="I9">
        <v>-2.1635127524768717E-8</v>
      </c>
      <c r="J9">
        <v>1.608765246025671E-4</v>
      </c>
      <c r="K9">
        <v>-9.5945859371252877E-6</v>
      </c>
      <c r="L9">
        <v>-3.6080448479554241E-7</v>
      </c>
      <c r="M9">
        <v>3.2179731020734117E-5</v>
      </c>
      <c r="N9">
        <v>-1.9053075512392429E-7</v>
      </c>
      <c r="O9">
        <v>-1.244141278199005E-7</v>
      </c>
      <c r="P9">
        <v>6.8754199732191018E-7</v>
      </c>
      <c r="Q9">
        <v>-6.8617767596161353E-7</v>
      </c>
      <c r="R9">
        <v>4.6752600630408476E-5</v>
      </c>
      <c r="S9">
        <v>4.2618845655051862E-5</v>
      </c>
      <c r="T9">
        <v>1.2148532253633921E-3</v>
      </c>
      <c r="U9">
        <v>1.221943519819804E-3</v>
      </c>
      <c r="V9">
        <v>1.2164289386977232E-3</v>
      </c>
      <c r="W9">
        <v>-1.7299560275925336E-5</v>
      </c>
      <c r="X9">
        <v>2.7163127860487901E-6</v>
      </c>
      <c r="Y9">
        <v>1.648645964572005E-5</v>
      </c>
      <c r="Z9">
        <v>2.3761205238662293E-5</v>
      </c>
      <c r="AA9">
        <v>2.5189476483588105E-5</v>
      </c>
      <c r="AB9">
        <v>2.4911754951826009E-5</v>
      </c>
      <c r="AC9">
        <v>2.6615447600531253E-5</v>
      </c>
      <c r="AD9">
        <v>1.870831920935205E-5</v>
      </c>
      <c r="AE9">
        <v>1.7843590935968153E-5</v>
      </c>
      <c r="AF9">
        <v>1.8181270113537339E-5</v>
      </c>
      <c r="AG9">
        <v>3.4587132706817905E-5</v>
      </c>
      <c r="AH9">
        <v>2.7140886182221179E-5</v>
      </c>
      <c r="AI9">
        <v>1.8037605089649979E-5</v>
      </c>
      <c r="AJ9">
        <v>2.8053739253538698E-5</v>
      </c>
      <c r="AK9">
        <v>-1.9699319711982612E-7</v>
      </c>
      <c r="AL9">
        <v>4.4495975496352908E-6</v>
      </c>
      <c r="AM9">
        <v>1.0039153522318749E-6</v>
      </c>
      <c r="AN9">
        <v>1.1737307362450649E-5</v>
      </c>
      <c r="AO9">
        <v>1.5085726896705231E-5</v>
      </c>
      <c r="AP9">
        <v>-3.1900612716037591E-6</v>
      </c>
      <c r="AQ9">
        <v>-1.1915840409986651E-3</v>
      </c>
    </row>
    <row r="10" spans="1:43" x14ac:dyDescent="0.2">
      <c r="A10" t="s">
        <v>74</v>
      </c>
      <c r="B10">
        <v>2.8579125248822411E-2</v>
      </c>
      <c r="C10">
        <v>7.4411551923688237E-7</v>
      </c>
      <c r="D10">
        <v>-1.9048570566787303E-6</v>
      </c>
      <c r="E10">
        <v>-1.7064950632767539E-6</v>
      </c>
      <c r="F10">
        <v>1.4617842446491825E-8</v>
      </c>
      <c r="G10">
        <v>-1.6326250513221885E-7</v>
      </c>
      <c r="H10">
        <v>-2.9845651886391305E-8</v>
      </c>
      <c r="I10">
        <v>-6.3424973495604425E-8</v>
      </c>
      <c r="J10">
        <v>-9.5945859371252877E-6</v>
      </c>
      <c r="K10">
        <v>1.2673739962599035E-5</v>
      </c>
      <c r="L10">
        <v>3.0848113380564623E-8</v>
      </c>
      <c r="M10">
        <v>1.6315812497288662E-6</v>
      </c>
      <c r="N10">
        <v>4.0761308100301495E-7</v>
      </c>
      <c r="O10">
        <v>-2.4365790016024646E-8</v>
      </c>
      <c r="P10">
        <v>-5.8375743726523937E-7</v>
      </c>
      <c r="Q10">
        <v>4.6667541611098381E-6</v>
      </c>
      <c r="R10">
        <v>5.9099391290054192E-6</v>
      </c>
      <c r="S10">
        <v>2.7279110489060186E-6</v>
      </c>
      <c r="T10">
        <v>-2.4431756808312183E-5</v>
      </c>
      <c r="U10">
        <v>-1.4867172185835639E-5</v>
      </c>
      <c r="V10">
        <v>1.1284910703478537E-5</v>
      </c>
      <c r="W10">
        <v>-9.8993823267826251E-7</v>
      </c>
      <c r="X10">
        <v>2.5335330936456403E-6</v>
      </c>
      <c r="Y10">
        <v>5.4825842111071753E-6</v>
      </c>
      <c r="Z10">
        <v>-2.2594282908060796E-7</v>
      </c>
      <c r="AA10">
        <v>1.8038922626601968E-8</v>
      </c>
      <c r="AB10">
        <v>9.4711691161473061E-7</v>
      </c>
      <c r="AC10">
        <v>5.7845817418366528E-7</v>
      </c>
      <c r="AD10">
        <v>9.669221543105982E-8</v>
      </c>
      <c r="AE10">
        <v>-5.6366009029554511E-7</v>
      </c>
      <c r="AF10">
        <v>-1.2217770953583283E-7</v>
      </c>
      <c r="AG10">
        <v>8.4107439391494895E-7</v>
      </c>
      <c r="AH10">
        <v>4.7879081453499565E-8</v>
      </c>
      <c r="AI10">
        <v>-1.901749454292267E-7</v>
      </c>
      <c r="AJ10">
        <v>2.2866122885937057E-6</v>
      </c>
      <c r="AK10">
        <v>-4.6703827866601447E-8</v>
      </c>
      <c r="AL10">
        <v>-1.778872721975151E-6</v>
      </c>
      <c r="AM10">
        <v>-5.6439624202679289E-7</v>
      </c>
      <c r="AN10">
        <v>3.5407737149586755E-6</v>
      </c>
      <c r="AO10">
        <v>3.5242080982566836E-6</v>
      </c>
      <c r="AP10">
        <v>5.7165651898481894E-6</v>
      </c>
      <c r="AQ10">
        <v>3.5695940180772485E-5</v>
      </c>
    </row>
    <row r="11" spans="1:43" x14ac:dyDescent="0.2">
      <c r="A11" t="s">
        <v>73</v>
      </c>
      <c r="B11">
        <v>0.24175926423187613</v>
      </c>
      <c r="C11">
        <v>1.7812894015619363E-6</v>
      </c>
      <c r="D11">
        <v>-2.7785157888670605E-6</v>
      </c>
      <c r="E11">
        <v>-6.8573771924130167E-7</v>
      </c>
      <c r="F11">
        <v>4.2669647541996412E-9</v>
      </c>
      <c r="G11">
        <v>-7.6820801025752888E-8</v>
      </c>
      <c r="H11">
        <v>-1.0144016802862682E-7</v>
      </c>
      <c r="I11">
        <v>-1.4334736915578272E-6</v>
      </c>
      <c r="J11">
        <v>-3.6080448479554241E-7</v>
      </c>
      <c r="K11">
        <v>3.0848113380564623E-8</v>
      </c>
      <c r="L11">
        <v>1.1922799152062456E-5</v>
      </c>
      <c r="M11">
        <v>3.4987681100806481E-6</v>
      </c>
      <c r="N11">
        <v>2.5934387096699816E-8</v>
      </c>
      <c r="O11">
        <v>5.3072635482501559E-8</v>
      </c>
      <c r="P11">
        <v>1.433940164841204E-6</v>
      </c>
      <c r="Q11">
        <v>-1.1609784779446638E-5</v>
      </c>
      <c r="R11">
        <v>9.5259846755878709E-6</v>
      </c>
      <c r="S11">
        <v>4.9305125597639534E-6</v>
      </c>
      <c r="T11">
        <v>-2.7521105753907425E-6</v>
      </c>
      <c r="U11">
        <v>-3.0889657305643725E-6</v>
      </c>
      <c r="V11">
        <v>-8.1704479640307698E-6</v>
      </c>
      <c r="W11">
        <v>1.6035053607041943E-6</v>
      </c>
      <c r="X11">
        <v>1.8466097071409397E-6</v>
      </c>
      <c r="Y11">
        <v>-8.7283348171088712E-6</v>
      </c>
      <c r="Z11">
        <v>4.2184133436704265E-6</v>
      </c>
      <c r="AA11">
        <v>1.9464843245723637E-6</v>
      </c>
      <c r="AB11">
        <v>2.0439802341401004E-6</v>
      </c>
      <c r="AC11">
        <v>3.6443197522453419E-6</v>
      </c>
      <c r="AD11">
        <v>1.3408309177432457E-6</v>
      </c>
      <c r="AE11">
        <v>2.044979255517497E-6</v>
      </c>
      <c r="AF11">
        <v>1.5514434767172305E-6</v>
      </c>
      <c r="AG11">
        <v>3.2023995915361591E-7</v>
      </c>
      <c r="AH11">
        <v>2.7589313642287461E-6</v>
      </c>
      <c r="AI11">
        <v>2.4082997162288375E-6</v>
      </c>
      <c r="AJ11">
        <v>5.0024728457477256E-6</v>
      </c>
      <c r="AK11">
        <v>8.4955460093775054E-8</v>
      </c>
      <c r="AL11">
        <v>-1.9086666757249166E-6</v>
      </c>
      <c r="AM11">
        <v>-1.4958462892491639E-6</v>
      </c>
      <c r="AN11">
        <v>1.4193826944688383E-6</v>
      </c>
      <c r="AO11">
        <v>1.0915318214942569E-5</v>
      </c>
      <c r="AP11">
        <v>6.2371580677042653E-6</v>
      </c>
      <c r="AQ11">
        <v>1.2472996068452398E-5</v>
      </c>
    </row>
    <row r="12" spans="1:43" x14ac:dyDescent="0.2">
      <c r="A12" t="s">
        <v>75</v>
      </c>
      <c r="B12">
        <v>0.15881230542051358</v>
      </c>
      <c r="C12">
        <v>-2.1249839681256192E-3</v>
      </c>
      <c r="D12">
        <v>-2.4540017160883722E-4</v>
      </c>
      <c r="E12">
        <v>-3.301353775877347E-6</v>
      </c>
      <c r="F12">
        <v>2.8459479566935564E-8</v>
      </c>
      <c r="G12">
        <v>-2.9793654134081602E-7</v>
      </c>
      <c r="H12">
        <v>7.3201837827613052E-7</v>
      </c>
      <c r="I12">
        <v>2.2936959432328819E-6</v>
      </c>
      <c r="J12">
        <v>3.2179731020734117E-5</v>
      </c>
      <c r="K12">
        <v>1.6315812497288662E-6</v>
      </c>
      <c r="L12">
        <v>3.4987681100806481E-6</v>
      </c>
      <c r="M12">
        <v>4.6802596315387492E-3</v>
      </c>
      <c r="N12">
        <v>1.3757259310136969E-5</v>
      </c>
      <c r="O12">
        <v>-1.9136858879943682E-5</v>
      </c>
      <c r="P12">
        <v>-6.5469501198368689E-5</v>
      </c>
      <c r="Q12">
        <v>2.4307637430527519E-6</v>
      </c>
      <c r="R12">
        <v>9.3834983951686597E-6</v>
      </c>
      <c r="S12">
        <v>1.5203680542318447E-5</v>
      </c>
      <c r="T12">
        <v>2.813798043062414E-4</v>
      </c>
      <c r="U12">
        <v>2.3690776706577395E-4</v>
      </c>
      <c r="V12">
        <v>2.3491317537063431E-4</v>
      </c>
      <c r="W12">
        <v>-9.5068244009156619E-6</v>
      </c>
      <c r="X12">
        <v>-2.1216916444881935E-5</v>
      </c>
      <c r="Y12">
        <v>-1.2570992298377598E-5</v>
      </c>
      <c r="Z12">
        <v>1.0670760296230538E-4</v>
      </c>
      <c r="AA12">
        <v>4.7168488882499607E-5</v>
      </c>
      <c r="AB12">
        <v>5.5776550242123718E-5</v>
      </c>
      <c r="AC12">
        <v>5.4915695217859706E-5</v>
      </c>
      <c r="AD12">
        <v>7.44961857482884E-5</v>
      </c>
      <c r="AE12">
        <v>7.9942688338662438E-5</v>
      </c>
      <c r="AF12">
        <v>3.0729973177549705E-5</v>
      </c>
      <c r="AG12">
        <v>5.0772921797146163E-5</v>
      </c>
      <c r="AH12">
        <v>5.9783750706805266E-5</v>
      </c>
      <c r="AI12">
        <v>6.3396207924856166E-5</v>
      </c>
      <c r="AJ12">
        <v>7.4892457548385953E-5</v>
      </c>
      <c r="AK12">
        <v>1.6432461526458206E-6</v>
      </c>
      <c r="AL12">
        <v>-1.9477942842830153E-5</v>
      </c>
      <c r="AM12">
        <v>-1.4101474013118334E-5</v>
      </c>
      <c r="AN12">
        <v>4.7051044427247831E-6</v>
      </c>
      <c r="AO12">
        <v>5.4090099674456038E-5</v>
      </c>
      <c r="AP12">
        <v>5.2764355390113116E-6</v>
      </c>
      <c r="AQ12">
        <v>-1.6917436072283237E-4</v>
      </c>
    </row>
    <row r="13" spans="1:43" x14ac:dyDescent="0.2">
      <c r="A13" t="s">
        <v>76</v>
      </c>
      <c r="B13">
        <v>6.0994170720566699E-3</v>
      </c>
      <c r="C13">
        <v>-3.7443760037624756E-5</v>
      </c>
      <c r="D13">
        <v>-2.2482875971773102E-7</v>
      </c>
      <c r="E13">
        <v>2.3086369990267742E-7</v>
      </c>
      <c r="F13">
        <v>-2.5353770636977919E-9</v>
      </c>
      <c r="G13">
        <v>-1.922301176853924E-7</v>
      </c>
      <c r="H13">
        <v>3.3470041077072942E-7</v>
      </c>
      <c r="I13">
        <v>1.5581670096447305E-7</v>
      </c>
      <c r="J13">
        <v>-1.9053075512392429E-7</v>
      </c>
      <c r="K13">
        <v>4.0761308100301495E-7</v>
      </c>
      <c r="L13">
        <v>2.5934387096699816E-8</v>
      </c>
      <c r="M13">
        <v>1.3757259310136969E-5</v>
      </c>
      <c r="N13">
        <v>5.0317656588453308E-6</v>
      </c>
      <c r="O13">
        <v>-4.3889494193232678E-6</v>
      </c>
      <c r="P13">
        <v>-2.581481830560777E-6</v>
      </c>
      <c r="Q13">
        <v>-1.5223532928037309E-6</v>
      </c>
      <c r="R13">
        <v>-6.762460502849952E-7</v>
      </c>
      <c r="S13">
        <v>-3.6829039074069686E-7</v>
      </c>
      <c r="T13">
        <v>-3.8802638954151869E-5</v>
      </c>
      <c r="U13">
        <v>2.2607736781511916E-6</v>
      </c>
      <c r="V13">
        <v>6.090042224225143E-7</v>
      </c>
      <c r="W13">
        <v>-7.3361335606393131E-7</v>
      </c>
      <c r="X13">
        <v>1.1111924367116628E-6</v>
      </c>
      <c r="Y13">
        <v>2.9429770862604928E-7</v>
      </c>
      <c r="Z13">
        <v>-2.3445736977434596E-7</v>
      </c>
      <c r="AA13">
        <v>-4.9349294092643491E-7</v>
      </c>
      <c r="AB13">
        <v>-6.3108980518821491E-7</v>
      </c>
      <c r="AC13">
        <v>-1.5214710728784099E-6</v>
      </c>
      <c r="AD13">
        <v>-1.2780145405637425E-6</v>
      </c>
      <c r="AE13">
        <v>-8.7018536049049983E-7</v>
      </c>
      <c r="AF13">
        <v>-6.5570018804992811E-7</v>
      </c>
      <c r="AG13">
        <v>-1.0618184234112808E-6</v>
      </c>
      <c r="AH13">
        <v>-5.3198757825802211E-7</v>
      </c>
      <c r="AI13">
        <v>-1.339194182908055E-6</v>
      </c>
      <c r="AJ13">
        <v>-4.8230710964089973E-7</v>
      </c>
      <c r="AK13">
        <v>1.2236633744582907E-9</v>
      </c>
      <c r="AL13">
        <v>-8.5618059634172716E-7</v>
      </c>
      <c r="AM13">
        <v>-1.5972726259833924E-7</v>
      </c>
      <c r="AN13">
        <v>9.6065852547734856E-7</v>
      </c>
      <c r="AO13">
        <v>1.5218146790991647E-7</v>
      </c>
      <c r="AP13">
        <v>1.6244911716333311E-6</v>
      </c>
      <c r="AQ13">
        <v>-1.2158121455184046E-5</v>
      </c>
    </row>
    <row r="14" spans="1:43" x14ac:dyDescent="0.2">
      <c r="A14" t="s">
        <v>77</v>
      </c>
      <c r="B14">
        <v>-1.1103035167805659E-2</v>
      </c>
      <c r="C14">
        <v>-1.7951590297656609E-5</v>
      </c>
      <c r="D14">
        <v>-1.1886240941905764E-7</v>
      </c>
      <c r="E14">
        <v>1.615724039681609E-8</v>
      </c>
      <c r="F14">
        <v>3.7536318935389561E-10</v>
      </c>
      <c r="G14">
        <v>1.7438813485077648E-7</v>
      </c>
      <c r="H14">
        <v>-4.3650895609707268E-7</v>
      </c>
      <c r="I14">
        <v>9.2737769780053012E-8</v>
      </c>
      <c r="J14">
        <v>-1.244141278199005E-7</v>
      </c>
      <c r="K14">
        <v>-2.4365790016024646E-8</v>
      </c>
      <c r="L14">
        <v>5.3072635482501559E-8</v>
      </c>
      <c r="M14">
        <v>-1.9136858879943682E-5</v>
      </c>
      <c r="N14">
        <v>-4.3889494193232678E-6</v>
      </c>
      <c r="O14">
        <v>6.2232537798707367E-6</v>
      </c>
      <c r="P14">
        <v>4.5055491233835694E-7</v>
      </c>
      <c r="Q14">
        <v>4.8900885070491206E-7</v>
      </c>
      <c r="R14">
        <v>3.5959357473089171E-7</v>
      </c>
      <c r="S14">
        <v>1.1805740326602588E-7</v>
      </c>
      <c r="T14">
        <v>-2.1495045389735258E-5</v>
      </c>
      <c r="U14">
        <v>-2.9229335786278641E-6</v>
      </c>
      <c r="V14">
        <v>-7.5799972582295301E-7</v>
      </c>
      <c r="W14">
        <v>1.8846951987678995E-7</v>
      </c>
      <c r="X14">
        <v>4.8481987883886427E-9</v>
      </c>
      <c r="Y14">
        <v>-6.7861456496174275E-7</v>
      </c>
      <c r="Z14">
        <v>3.2841494272056997E-7</v>
      </c>
      <c r="AA14">
        <v>6.2203399019775973E-7</v>
      </c>
      <c r="AB14">
        <v>1.7628717897283451E-6</v>
      </c>
      <c r="AC14">
        <v>1.521661881524356E-6</v>
      </c>
      <c r="AD14">
        <v>1.5831826287319811E-6</v>
      </c>
      <c r="AE14">
        <v>1.5568605010509957E-6</v>
      </c>
      <c r="AF14">
        <v>1.4588320368623025E-6</v>
      </c>
      <c r="AG14">
        <v>1.3062011391727332E-6</v>
      </c>
      <c r="AH14">
        <v>1.046665239588025E-6</v>
      </c>
      <c r="AI14">
        <v>2.1339272873453476E-6</v>
      </c>
      <c r="AJ14">
        <v>7.7784075791434488E-7</v>
      </c>
      <c r="AK14">
        <v>-1.0695869616380059E-8</v>
      </c>
      <c r="AL14">
        <v>5.9678476406494927E-7</v>
      </c>
      <c r="AM14">
        <v>5.9313736963137393E-7</v>
      </c>
      <c r="AN14">
        <v>-7.9708335000075208E-7</v>
      </c>
      <c r="AO14">
        <v>1.2678636323932998E-7</v>
      </c>
      <c r="AP14">
        <v>-2.0930090260866646E-6</v>
      </c>
      <c r="AQ14">
        <v>1.0979622613098266E-5</v>
      </c>
    </row>
    <row r="15" spans="1:43" x14ac:dyDescent="0.2">
      <c r="A15" t="s">
        <v>78</v>
      </c>
      <c r="B15">
        <v>-7.3464365219762698E-2</v>
      </c>
      <c r="C15">
        <v>-2.3320289427729007E-6</v>
      </c>
      <c r="D15">
        <v>6.8650970899261353E-7</v>
      </c>
      <c r="E15">
        <v>-1.4561781851029701E-6</v>
      </c>
      <c r="F15">
        <v>1.5669617265479443E-8</v>
      </c>
      <c r="G15">
        <v>1.4750597854821428E-7</v>
      </c>
      <c r="H15">
        <v>9.045959928508779E-8</v>
      </c>
      <c r="I15">
        <v>-1.1674207196731012E-5</v>
      </c>
      <c r="J15">
        <v>6.8754199732191018E-7</v>
      </c>
      <c r="K15">
        <v>-5.8375743726523937E-7</v>
      </c>
      <c r="L15">
        <v>1.433940164841204E-6</v>
      </c>
      <c r="M15">
        <v>-6.5469501198368689E-5</v>
      </c>
      <c r="N15">
        <v>-2.581481830560777E-6</v>
      </c>
      <c r="O15">
        <v>4.5055491233835694E-7</v>
      </c>
      <c r="P15">
        <v>2.1963515680137341E-4</v>
      </c>
      <c r="Q15">
        <v>-5.8481099431007283E-5</v>
      </c>
      <c r="R15">
        <v>-3.6185177883875869E-6</v>
      </c>
      <c r="S15">
        <v>-6.5192478746160996E-7</v>
      </c>
      <c r="T15">
        <v>-8.019847327115189E-6</v>
      </c>
      <c r="U15">
        <v>5.200699180390677E-6</v>
      </c>
      <c r="V15">
        <v>6.876010781004385E-6</v>
      </c>
      <c r="W15">
        <v>1.1448604218138031E-5</v>
      </c>
      <c r="X15">
        <v>-1.7076422333175895E-5</v>
      </c>
      <c r="Y15">
        <v>2.0511257145993688E-5</v>
      </c>
      <c r="Z15">
        <v>-1.24481380001144E-5</v>
      </c>
      <c r="AA15">
        <v>-7.1139865647391378E-6</v>
      </c>
      <c r="AB15">
        <v>-9.0234872931301039E-6</v>
      </c>
      <c r="AC15">
        <v>-9.5126653586470234E-6</v>
      </c>
      <c r="AD15">
        <v>-5.9537375077296292E-6</v>
      </c>
      <c r="AE15">
        <v>-9.5115129037049231E-6</v>
      </c>
      <c r="AF15">
        <v>-1.1056774850100551E-5</v>
      </c>
      <c r="AG15">
        <v>-9.1477461978019863E-6</v>
      </c>
      <c r="AH15">
        <v>-9.8158814191650316E-6</v>
      </c>
      <c r="AI15">
        <v>-1.5948848489041269E-5</v>
      </c>
      <c r="AJ15">
        <v>-9.9437770080321712E-6</v>
      </c>
      <c r="AK15">
        <v>-1.5323940663421134E-6</v>
      </c>
      <c r="AL15">
        <v>1.0137668801536726E-6</v>
      </c>
      <c r="AM15">
        <v>-4.9513601076923181E-6</v>
      </c>
      <c r="AN15">
        <v>-1.6298828899885022E-5</v>
      </c>
      <c r="AO15">
        <v>-5.5084977203741879E-6</v>
      </c>
      <c r="AP15">
        <v>1.6949103967011727E-6</v>
      </c>
      <c r="AQ15">
        <v>6.677751791128069E-5</v>
      </c>
    </row>
    <row r="16" spans="1:43" x14ac:dyDescent="0.2">
      <c r="A16" t="s">
        <v>79</v>
      </c>
      <c r="B16">
        <v>-9.6444773153988611E-2</v>
      </c>
      <c r="C16">
        <v>5.3071993777096022E-6</v>
      </c>
      <c r="D16">
        <v>5.7708739240702385E-7</v>
      </c>
      <c r="E16">
        <v>1.6012757025204026E-6</v>
      </c>
      <c r="F16">
        <v>-7.4931651069862758E-9</v>
      </c>
      <c r="G16">
        <v>4.3694212875857553E-8</v>
      </c>
      <c r="H16">
        <v>1.7898863706996934E-7</v>
      </c>
      <c r="I16">
        <v>6.9302771386234341E-7</v>
      </c>
      <c r="J16">
        <v>-6.8617767596161353E-7</v>
      </c>
      <c r="K16">
        <v>4.6667541611098381E-6</v>
      </c>
      <c r="L16">
        <v>-1.1609784779446638E-5</v>
      </c>
      <c r="M16">
        <v>2.4307637430527519E-6</v>
      </c>
      <c r="N16">
        <v>-1.5223532928037309E-6</v>
      </c>
      <c r="O16">
        <v>4.8900885070491206E-7</v>
      </c>
      <c r="P16">
        <v>-5.8481099431007283E-5</v>
      </c>
      <c r="Q16">
        <v>2.5541930723260877E-4</v>
      </c>
      <c r="R16">
        <v>-4.9356875221205466E-7</v>
      </c>
      <c r="S16">
        <v>2.2709274543079638E-6</v>
      </c>
      <c r="T16">
        <v>3.0626623222631774E-5</v>
      </c>
      <c r="U16">
        <v>8.8233255193408747E-6</v>
      </c>
      <c r="V16">
        <v>2.9690422483962808E-5</v>
      </c>
      <c r="W16">
        <v>1.7000058280564588E-5</v>
      </c>
      <c r="X16">
        <v>-1.4933488234658985E-5</v>
      </c>
      <c r="Y16">
        <v>4.1054701070938421E-5</v>
      </c>
      <c r="Z16">
        <v>7.3247729906163327E-6</v>
      </c>
      <c r="AA16">
        <v>5.9951716691638486E-6</v>
      </c>
      <c r="AB16">
        <v>3.5660976870725181E-6</v>
      </c>
      <c r="AC16">
        <v>6.9008433501959678E-6</v>
      </c>
      <c r="AD16">
        <v>9.4832944414223213E-6</v>
      </c>
      <c r="AE16">
        <v>4.8344269820955119E-6</v>
      </c>
      <c r="AF16">
        <v>3.5847987254440523E-6</v>
      </c>
      <c r="AG16">
        <v>1.2283311947706697E-5</v>
      </c>
      <c r="AH16">
        <v>2.6397729919579855E-6</v>
      </c>
      <c r="AI16">
        <v>8.1950305145357753E-6</v>
      </c>
      <c r="AJ16">
        <v>9.8992891429425342E-7</v>
      </c>
      <c r="AK16">
        <v>-6.9740423971823408E-7</v>
      </c>
      <c r="AL16">
        <v>-2.108293739817109E-6</v>
      </c>
      <c r="AM16">
        <v>-1.0630705071193837E-6</v>
      </c>
      <c r="AN16">
        <v>1.3544381751824791E-6</v>
      </c>
      <c r="AO16">
        <v>-1.7274885200527107E-6</v>
      </c>
      <c r="AP16">
        <v>5.8416422667725016E-7</v>
      </c>
      <c r="AQ16">
        <v>-8.5468172630759245E-5</v>
      </c>
    </row>
    <row r="17" spans="1:43" x14ac:dyDescent="0.2">
      <c r="A17" t="s">
        <v>106</v>
      </c>
      <c r="B17">
        <v>-0.72633264178472801</v>
      </c>
      <c r="C17">
        <v>2.395394962697668E-4</v>
      </c>
      <c r="D17">
        <v>-1.4602148437456147E-5</v>
      </c>
      <c r="E17">
        <v>1.4529090714096875E-6</v>
      </c>
      <c r="F17">
        <v>-5.8347910468984652E-8</v>
      </c>
      <c r="G17">
        <v>1.797679052662315E-6</v>
      </c>
      <c r="H17">
        <v>4.0198823116187213E-8</v>
      </c>
      <c r="I17">
        <v>3.183513635389205E-6</v>
      </c>
      <c r="J17">
        <v>4.6752600630408476E-5</v>
      </c>
      <c r="K17">
        <v>5.9099391290054192E-6</v>
      </c>
      <c r="L17">
        <v>9.5259846755878709E-6</v>
      </c>
      <c r="M17">
        <v>9.3834983951686597E-6</v>
      </c>
      <c r="N17">
        <v>-6.762460502849952E-7</v>
      </c>
      <c r="O17">
        <v>3.5959357473089171E-7</v>
      </c>
      <c r="P17">
        <v>-3.6185177883875869E-6</v>
      </c>
      <c r="Q17">
        <v>-4.9356875221205466E-7</v>
      </c>
      <c r="R17">
        <v>6.6985505635870711E-4</v>
      </c>
      <c r="S17">
        <v>2.9713368797620751E-4</v>
      </c>
      <c r="T17">
        <v>3.6882346682477339E-4</v>
      </c>
      <c r="U17">
        <v>3.0871636353339724E-4</v>
      </c>
      <c r="V17">
        <v>3.8858283343755812E-4</v>
      </c>
      <c r="W17">
        <v>1.314497019346271E-5</v>
      </c>
      <c r="X17">
        <v>-1.1373557507441499E-5</v>
      </c>
      <c r="Y17">
        <v>-4.0976372089725766E-5</v>
      </c>
      <c r="Z17">
        <v>-1.673064616434543E-5</v>
      </c>
      <c r="AA17">
        <v>-1.8053068687891148E-5</v>
      </c>
      <c r="AB17">
        <v>-1.1002198336881994E-5</v>
      </c>
      <c r="AC17">
        <v>-3.8575766730617096E-5</v>
      </c>
      <c r="AD17">
        <v>-3.7146697181530822E-5</v>
      </c>
      <c r="AE17">
        <v>-3.030619034229728E-5</v>
      </c>
      <c r="AF17">
        <v>-9.501063999625643E-6</v>
      </c>
      <c r="AG17">
        <v>-1.7748418167566865E-5</v>
      </c>
      <c r="AH17">
        <v>-2.4836544990261664E-5</v>
      </c>
      <c r="AI17">
        <v>5.2629652203104349E-6</v>
      </c>
      <c r="AJ17">
        <v>-2.0811236843182464E-5</v>
      </c>
      <c r="AK17">
        <v>5.6795691690475296E-6</v>
      </c>
      <c r="AL17">
        <v>3.674825212294058E-6</v>
      </c>
      <c r="AM17">
        <v>8.388906151563815E-6</v>
      </c>
      <c r="AN17">
        <v>3.2690810866485895E-5</v>
      </c>
      <c r="AO17">
        <v>5.7968822330361613E-5</v>
      </c>
      <c r="AP17">
        <v>4.3615124391020455E-5</v>
      </c>
      <c r="AQ17">
        <v>-7.7419408309412812E-4</v>
      </c>
    </row>
    <row r="18" spans="1:43" x14ac:dyDescent="0.2">
      <c r="A18" t="s">
        <v>102</v>
      </c>
      <c r="B18">
        <v>-0.33476942057896869</v>
      </c>
      <c r="C18">
        <v>2.7254599888409102E-4</v>
      </c>
      <c r="D18">
        <v>-1.8426353221950579E-5</v>
      </c>
      <c r="E18">
        <v>3.8577225292434536E-8</v>
      </c>
      <c r="F18">
        <v>-8.6718454355771177E-9</v>
      </c>
      <c r="G18">
        <v>1.034204056193091E-6</v>
      </c>
      <c r="H18">
        <v>-2.7997055040386274E-7</v>
      </c>
      <c r="I18">
        <v>1.4148468876546653E-6</v>
      </c>
      <c r="J18">
        <v>4.2618845655051862E-5</v>
      </c>
      <c r="K18">
        <v>2.7279110489060186E-6</v>
      </c>
      <c r="L18">
        <v>4.9305125597639534E-6</v>
      </c>
      <c r="M18">
        <v>1.5203680542318447E-5</v>
      </c>
      <c r="N18">
        <v>-3.6829039074069686E-7</v>
      </c>
      <c r="O18">
        <v>1.1805740326602588E-7</v>
      </c>
      <c r="P18">
        <v>-6.5192478746160996E-7</v>
      </c>
      <c r="Q18">
        <v>2.2709274543079638E-6</v>
      </c>
      <c r="R18">
        <v>2.9713368797620751E-4</v>
      </c>
      <c r="S18">
        <v>3.830686193783627E-4</v>
      </c>
      <c r="T18">
        <v>3.1979446014062459E-4</v>
      </c>
      <c r="U18">
        <v>3.1197791611417384E-4</v>
      </c>
      <c r="V18">
        <v>3.4268457156237588E-4</v>
      </c>
      <c r="W18">
        <v>1.3842594708710196E-5</v>
      </c>
      <c r="X18">
        <v>-1.4335542790914812E-6</v>
      </c>
      <c r="Y18">
        <v>-2.9605523291429867E-5</v>
      </c>
      <c r="Z18">
        <v>-3.7699873412442908E-5</v>
      </c>
      <c r="AA18">
        <v>-3.1161016461971389E-5</v>
      </c>
      <c r="AB18">
        <v>-2.6958527843222332E-5</v>
      </c>
      <c r="AC18">
        <v>-3.5302385877402644E-5</v>
      </c>
      <c r="AD18">
        <v>-2.4274527796576658E-5</v>
      </c>
      <c r="AE18">
        <v>-3.6676749646565065E-5</v>
      </c>
      <c r="AF18">
        <v>-2.1672540264367279E-5</v>
      </c>
      <c r="AG18">
        <v>-3.4440891761429188E-5</v>
      </c>
      <c r="AH18">
        <v>-3.7211895731575114E-5</v>
      </c>
      <c r="AI18">
        <v>-2.5397873193040525E-5</v>
      </c>
      <c r="AJ18">
        <v>-1.0179612621424427E-6</v>
      </c>
      <c r="AK18">
        <v>1.1385342679436897E-6</v>
      </c>
      <c r="AL18">
        <v>6.9429646425441548E-6</v>
      </c>
      <c r="AM18">
        <v>2.6626784053224945E-6</v>
      </c>
      <c r="AN18">
        <v>3.6106329766677015E-5</v>
      </c>
      <c r="AO18">
        <v>4.0138220680792814E-5</v>
      </c>
      <c r="AP18">
        <v>2.2068035740602297E-5</v>
      </c>
      <c r="AQ18">
        <v>-6.2453287308964151E-4</v>
      </c>
    </row>
    <row r="19" spans="1:43" x14ac:dyDescent="0.2">
      <c r="A19" t="s">
        <v>80</v>
      </c>
      <c r="B19">
        <v>0.92773845653223264</v>
      </c>
      <c r="C19">
        <v>-2.9069658666828222E-5</v>
      </c>
      <c r="D19">
        <v>-2.2591876285563186E-4</v>
      </c>
      <c r="E19">
        <v>1.4331692953639438E-5</v>
      </c>
      <c r="F19">
        <v>-9.6323541386479626E-8</v>
      </c>
      <c r="G19">
        <v>-3.2664790561998492E-7</v>
      </c>
      <c r="H19">
        <v>1.119234604045589E-6</v>
      </c>
      <c r="I19">
        <v>-8.6095566526871356E-6</v>
      </c>
      <c r="J19">
        <v>1.2148532253633921E-3</v>
      </c>
      <c r="K19">
        <v>-2.4431756808312183E-5</v>
      </c>
      <c r="L19">
        <v>-2.7521105753907425E-6</v>
      </c>
      <c r="M19">
        <v>2.813798043062414E-4</v>
      </c>
      <c r="N19">
        <v>-3.8802638954151869E-5</v>
      </c>
      <c r="O19">
        <v>-2.1495045389735258E-5</v>
      </c>
      <c r="P19">
        <v>-8.019847327115189E-6</v>
      </c>
      <c r="Q19">
        <v>3.0626623222631774E-5</v>
      </c>
      <c r="R19">
        <v>3.6882346682477339E-4</v>
      </c>
      <c r="S19">
        <v>3.1979446014062459E-4</v>
      </c>
      <c r="T19">
        <v>1.3225375000798963E-2</v>
      </c>
      <c r="U19">
        <v>9.6359324708789103E-3</v>
      </c>
      <c r="V19">
        <v>9.5223974376710662E-3</v>
      </c>
      <c r="W19">
        <v>-6.5216602353387459E-5</v>
      </c>
      <c r="X19">
        <v>2.8864507014605295E-5</v>
      </c>
      <c r="Y19">
        <v>1.6477356290640617E-4</v>
      </c>
      <c r="Z19">
        <v>1.8896974111479387E-4</v>
      </c>
      <c r="AA19">
        <v>2.1835060745532429E-4</v>
      </c>
      <c r="AB19">
        <v>2.137134375191827E-4</v>
      </c>
      <c r="AC19">
        <v>2.4555890700369643E-4</v>
      </c>
      <c r="AD19">
        <v>1.7184024581447591E-4</v>
      </c>
      <c r="AE19">
        <v>1.4792372966857242E-4</v>
      </c>
      <c r="AF19">
        <v>1.4542350183789762E-4</v>
      </c>
      <c r="AG19">
        <v>2.9821692496694203E-4</v>
      </c>
      <c r="AH19">
        <v>2.2722927631998405E-4</v>
      </c>
      <c r="AI19">
        <v>1.3605770031653759E-4</v>
      </c>
      <c r="AJ19">
        <v>2.1691515767226915E-4</v>
      </c>
      <c r="AK19">
        <v>-3.6093969530744813E-6</v>
      </c>
      <c r="AL19">
        <v>1.9406690950940218E-5</v>
      </c>
      <c r="AM19">
        <v>-2.2533089102254528E-5</v>
      </c>
      <c r="AN19">
        <v>9.738111315822813E-5</v>
      </c>
      <c r="AO19">
        <v>5.7315371861051123E-5</v>
      </c>
      <c r="AP19">
        <v>-3.6163085148461713E-5</v>
      </c>
      <c r="AQ19">
        <v>-1.0417341991220814E-2</v>
      </c>
    </row>
    <row r="20" spans="1:43" x14ac:dyDescent="0.2">
      <c r="A20" t="s">
        <v>81</v>
      </c>
      <c r="B20">
        <v>0.30747301937856852</v>
      </c>
      <c r="C20">
        <v>9.4949058784022993E-5</v>
      </c>
      <c r="D20">
        <v>-2.2909428696209222E-4</v>
      </c>
      <c r="E20">
        <v>-1.9662884312818524E-5</v>
      </c>
      <c r="F20">
        <v>1.71577242304123E-7</v>
      </c>
      <c r="G20">
        <v>1.1344675161473662E-6</v>
      </c>
      <c r="H20">
        <v>2.5517758252486721E-6</v>
      </c>
      <c r="I20">
        <v>7.815543110502132E-7</v>
      </c>
      <c r="J20">
        <v>1.221943519819804E-3</v>
      </c>
      <c r="K20">
        <v>-1.4867172185835639E-5</v>
      </c>
      <c r="L20">
        <v>-3.0889657305643725E-6</v>
      </c>
      <c r="M20">
        <v>2.3690776706577395E-4</v>
      </c>
      <c r="N20">
        <v>2.2607736781511916E-6</v>
      </c>
      <c r="O20">
        <v>-2.9229335786278641E-6</v>
      </c>
      <c r="P20">
        <v>5.200699180390677E-6</v>
      </c>
      <c r="Q20">
        <v>8.8233255193408747E-6</v>
      </c>
      <c r="R20">
        <v>3.0871636353339724E-4</v>
      </c>
      <c r="S20">
        <v>3.1197791611417384E-4</v>
      </c>
      <c r="T20">
        <v>9.6359324708789103E-3</v>
      </c>
      <c r="U20">
        <v>1.0365593873098128E-2</v>
      </c>
      <c r="V20">
        <v>9.7281629351580363E-3</v>
      </c>
      <c r="W20">
        <v>-1.4627922902896834E-4</v>
      </c>
      <c r="X20">
        <v>2.015267034827955E-5</v>
      </c>
      <c r="Y20">
        <v>1.203535054775445E-4</v>
      </c>
      <c r="Z20">
        <v>1.7123697341859872E-4</v>
      </c>
      <c r="AA20">
        <v>2.3016645610833466E-4</v>
      </c>
      <c r="AB20">
        <v>1.9396031790489248E-4</v>
      </c>
      <c r="AC20">
        <v>2.3804794735994041E-4</v>
      </c>
      <c r="AD20">
        <v>1.6809440923193234E-4</v>
      </c>
      <c r="AE20">
        <v>1.4335718777969174E-4</v>
      </c>
      <c r="AF20">
        <v>1.5884348050180705E-4</v>
      </c>
      <c r="AG20">
        <v>2.8208813829611393E-4</v>
      </c>
      <c r="AH20">
        <v>2.3066574085791724E-4</v>
      </c>
      <c r="AI20">
        <v>1.3618446540687723E-4</v>
      </c>
      <c r="AJ20">
        <v>2.3468446320236251E-4</v>
      </c>
      <c r="AK20">
        <v>-1.5212988806162075E-6</v>
      </c>
      <c r="AL20">
        <v>4.0184866602116964E-5</v>
      </c>
      <c r="AM20">
        <v>1.393291464547305E-5</v>
      </c>
      <c r="AN20">
        <v>8.6643497343635422E-5</v>
      </c>
      <c r="AO20">
        <v>8.1839746367195695E-5</v>
      </c>
      <c r="AP20">
        <v>-3.106650340447192E-5</v>
      </c>
      <c r="AQ20">
        <v>-9.7518677686530709E-3</v>
      </c>
    </row>
    <row r="21" spans="1:43" x14ac:dyDescent="0.2">
      <c r="A21" t="s">
        <v>82</v>
      </c>
      <c r="B21">
        <v>0.95559138178705993</v>
      </c>
      <c r="C21">
        <v>1.2559273250367946E-4</v>
      </c>
      <c r="D21">
        <v>-2.2585382704653847E-4</v>
      </c>
      <c r="E21">
        <v>-1.367408558578178E-5</v>
      </c>
      <c r="F21">
        <v>-2.723949485050953E-8</v>
      </c>
      <c r="G21">
        <v>-4.7619299849951142E-7</v>
      </c>
      <c r="H21">
        <v>-9.4416182829226556E-7</v>
      </c>
      <c r="I21">
        <v>-5.3358540216019821E-6</v>
      </c>
      <c r="J21">
        <v>1.2164289386977232E-3</v>
      </c>
      <c r="K21">
        <v>1.1284910703478537E-5</v>
      </c>
      <c r="L21">
        <v>-8.1704479640307698E-6</v>
      </c>
      <c r="M21">
        <v>2.3491317537063431E-4</v>
      </c>
      <c r="N21">
        <v>6.090042224225143E-7</v>
      </c>
      <c r="O21">
        <v>-7.5799972582295301E-7</v>
      </c>
      <c r="P21">
        <v>6.876010781004385E-6</v>
      </c>
      <c r="Q21">
        <v>2.9690422483962808E-5</v>
      </c>
      <c r="R21">
        <v>3.8858283343755812E-4</v>
      </c>
      <c r="S21">
        <v>3.4268457156237588E-4</v>
      </c>
      <c r="T21">
        <v>9.5223974376710662E-3</v>
      </c>
      <c r="U21">
        <v>9.7281629351580363E-3</v>
      </c>
      <c r="V21">
        <v>1.048889349351897E-2</v>
      </c>
      <c r="W21">
        <v>-9.8946017757717671E-5</v>
      </c>
      <c r="X21">
        <v>5.9790635124077024E-5</v>
      </c>
      <c r="Y21">
        <v>2.2277332102219678E-4</v>
      </c>
      <c r="Z21">
        <v>1.8340106613521766E-4</v>
      </c>
      <c r="AA21">
        <v>1.874247124997448E-4</v>
      </c>
      <c r="AB21">
        <v>1.9815396336176358E-4</v>
      </c>
      <c r="AC21">
        <v>2.1941490708376555E-4</v>
      </c>
      <c r="AD21">
        <v>1.5288878574620346E-4</v>
      </c>
      <c r="AE21">
        <v>1.3705754776461784E-4</v>
      </c>
      <c r="AF21">
        <v>1.3900112583363684E-4</v>
      </c>
      <c r="AG21">
        <v>3.0223559551949752E-4</v>
      </c>
      <c r="AH21">
        <v>2.1957722639137124E-4</v>
      </c>
      <c r="AI21">
        <v>1.3487912108057533E-4</v>
      </c>
      <c r="AJ21">
        <v>2.457263492427076E-4</v>
      </c>
      <c r="AK21">
        <v>-1.6194626199332596E-6</v>
      </c>
      <c r="AL21">
        <v>1.9317542375851335E-5</v>
      </c>
      <c r="AM21">
        <v>5.0505145004613194E-6</v>
      </c>
      <c r="AN21">
        <v>9.8559624526196182E-5</v>
      </c>
      <c r="AO21">
        <v>1.7255751433661783E-4</v>
      </c>
      <c r="AP21">
        <v>4.1911704902788428E-5</v>
      </c>
      <c r="AQ21">
        <v>-9.5114940302873791E-3</v>
      </c>
    </row>
    <row r="22" spans="1:43" x14ac:dyDescent="0.2">
      <c r="A22" t="s">
        <v>83</v>
      </c>
      <c r="B22">
        <v>-0.30535494861205964</v>
      </c>
      <c r="C22">
        <v>-4.6086985101986365E-5</v>
      </c>
      <c r="D22">
        <v>-2.0338289713794505E-6</v>
      </c>
      <c r="E22">
        <v>4.6946302475952093E-6</v>
      </c>
      <c r="F22">
        <v>-1.6466297417919758E-8</v>
      </c>
      <c r="G22">
        <v>1.5898011728222477E-7</v>
      </c>
      <c r="H22">
        <v>5.3700113455775191E-10</v>
      </c>
      <c r="I22">
        <v>1.3650467540881133E-6</v>
      </c>
      <c r="J22">
        <v>-1.7299560275925336E-5</v>
      </c>
      <c r="K22">
        <v>-9.8993823267826251E-7</v>
      </c>
      <c r="L22">
        <v>1.6035053607041943E-6</v>
      </c>
      <c r="M22">
        <v>-9.5068244009156619E-6</v>
      </c>
      <c r="N22">
        <v>-7.3361335606393131E-7</v>
      </c>
      <c r="O22">
        <v>1.8846951987678995E-7</v>
      </c>
      <c r="P22">
        <v>1.1448604218138031E-5</v>
      </c>
      <c r="Q22">
        <v>1.7000058280564588E-5</v>
      </c>
      <c r="R22">
        <v>1.314497019346271E-5</v>
      </c>
      <c r="S22">
        <v>1.3842594708710196E-5</v>
      </c>
      <c r="T22">
        <v>-6.5216602353387459E-5</v>
      </c>
      <c r="U22">
        <v>-1.4627922902896834E-4</v>
      </c>
      <c r="V22">
        <v>-9.8946017757717671E-5</v>
      </c>
      <c r="W22">
        <v>4.528693970300312E-4</v>
      </c>
      <c r="X22">
        <v>1.4320956059584664E-4</v>
      </c>
      <c r="Y22">
        <v>2.0761880180729823E-4</v>
      </c>
      <c r="Z22">
        <v>-8.1280107854489779E-6</v>
      </c>
      <c r="AA22">
        <v>-1.1530165906489833E-5</v>
      </c>
      <c r="AB22">
        <v>4.6807989871233593E-6</v>
      </c>
      <c r="AC22">
        <v>9.6452370406156584E-6</v>
      </c>
      <c r="AD22">
        <v>2.9414491955714975E-6</v>
      </c>
      <c r="AE22">
        <v>-6.2729503890065309E-6</v>
      </c>
      <c r="AF22">
        <v>-7.5988379657852118E-7</v>
      </c>
      <c r="AG22">
        <v>-1.1191950456792421E-5</v>
      </c>
      <c r="AH22">
        <v>-1.7889035298264682E-6</v>
      </c>
      <c r="AI22">
        <v>2.3235227218103738E-7</v>
      </c>
      <c r="AJ22">
        <v>-2.6902127572729542E-5</v>
      </c>
      <c r="AK22">
        <v>1.2684172032255279E-6</v>
      </c>
      <c r="AL22">
        <v>-6.2817791862080764E-6</v>
      </c>
      <c r="AM22">
        <v>1.4126519908837973E-6</v>
      </c>
      <c r="AN22">
        <v>-2.7005790870607451E-5</v>
      </c>
      <c r="AO22">
        <v>-6.7510292699957055E-6</v>
      </c>
      <c r="AP22">
        <v>-1.5651593242570943E-5</v>
      </c>
      <c r="AQ22">
        <v>-2.5557979863212248E-4</v>
      </c>
    </row>
    <row r="23" spans="1:43" x14ac:dyDescent="0.2">
      <c r="A23" t="s">
        <v>84</v>
      </c>
      <c r="B23">
        <v>-0.13030437425946395</v>
      </c>
      <c r="C23">
        <v>6.3737241146669449E-5</v>
      </c>
      <c r="D23">
        <v>2.5054274623655384E-5</v>
      </c>
      <c r="E23">
        <v>1.416643268726608E-5</v>
      </c>
      <c r="F23">
        <v>-1.2477902956502138E-7</v>
      </c>
      <c r="G23">
        <v>5.125306172727164E-7</v>
      </c>
      <c r="H23">
        <v>7.3225870197103494E-7</v>
      </c>
      <c r="I23">
        <v>4.6657382723220177E-8</v>
      </c>
      <c r="J23">
        <v>2.7163127860487901E-6</v>
      </c>
      <c r="K23">
        <v>2.5335330936456403E-6</v>
      </c>
      <c r="L23">
        <v>1.8466097071409397E-6</v>
      </c>
      <c r="M23">
        <v>-2.1216916444881935E-5</v>
      </c>
      <c r="N23">
        <v>1.1111924367116628E-6</v>
      </c>
      <c r="O23">
        <v>4.8481987883886427E-9</v>
      </c>
      <c r="P23">
        <v>-1.7076422333175895E-5</v>
      </c>
      <c r="Q23">
        <v>-1.4933488234658985E-5</v>
      </c>
      <c r="R23">
        <v>-1.1373557507441499E-5</v>
      </c>
      <c r="S23">
        <v>-1.4335542790914812E-6</v>
      </c>
      <c r="T23">
        <v>2.8864507014605295E-5</v>
      </c>
      <c r="U23">
        <v>2.015267034827955E-5</v>
      </c>
      <c r="V23">
        <v>5.9790635124077024E-5</v>
      </c>
      <c r="W23">
        <v>1.4320956059584664E-4</v>
      </c>
      <c r="X23">
        <v>3.5565561799564448E-4</v>
      </c>
      <c r="Y23">
        <v>1.8626821000871768E-4</v>
      </c>
      <c r="Z23">
        <v>8.7828667219729852E-6</v>
      </c>
      <c r="AA23">
        <v>2.2256091816745001E-5</v>
      </c>
      <c r="AB23">
        <v>3.2140971927973949E-5</v>
      </c>
      <c r="AC23">
        <v>2.5938683372172985E-5</v>
      </c>
      <c r="AD23">
        <v>1.6040866160608869E-5</v>
      </c>
      <c r="AE23">
        <v>2.0590953008646436E-5</v>
      </c>
      <c r="AF23">
        <v>1.4816561403137779E-5</v>
      </c>
      <c r="AG23">
        <v>1.8789753276600478E-5</v>
      </c>
      <c r="AH23">
        <v>1.0168599436114042E-5</v>
      </c>
      <c r="AI23">
        <v>5.4368522557561409E-6</v>
      </c>
      <c r="AJ23">
        <v>-1.965999981710367E-5</v>
      </c>
      <c r="AK23">
        <v>1.8665299343922925E-7</v>
      </c>
      <c r="AL23">
        <v>-3.9555212853748863E-6</v>
      </c>
      <c r="AM23">
        <v>-1.0515833222648779E-6</v>
      </c>
      <c r="AN23">
        <v>1.1029473846121214E-5</v>
      </c>
      <c r="AO23">
        <v>-7.9395091624680887E-5</v>
      </c>
      <c r="AP23">
        <v>-3.7212925469760677E-5</v>
      </c>
      <c r="AQ23">
        <v>-6.4048500241187917E-4</v>
      </c>
    </row>
    <row r="24" spans="1:43" x14ac:dyDescent="0.2">
      <c r="A24" t="s">
        <v>107</v>
      </c>
      <c r="B24">
        <v>-0.3968253169522668</v>
      </c>
      <c r="C24">
        <v>-7.8446208379847341E-5</v>
      </c>
      <c r="D24">
        <v>7.9156897697053952E-5</v>
      </c>
      <c r="E24">
        <v>8.9092765839715077E-6</v>
      </c>
      <c r="F24">
        <v>-5.0291488935940894E-8</v>
      </c>
      <c r="G24">
        <v>6.2787073448279214E-7</v>
      </c>
      <c r="H24">
        <v>1.5254149560822802E-6</v>
      </c>
      <c r="I24">
        <v>-1.0066103296157126E-5</v>
      </c>
      <c r="J24">
        <v>1.648645964572005E-5</v>
      </c>
      <c r="K24">
        <v>5.4825842111071753E-6</v>
      </c>
      <c r="L24">
        <v>-8.7283348171088712E-6</v>
      </c>
      <c r="M24">
        <v>-1.2570992298377598E-5</v>
      </c>
      <c r="N24">
        <v>2.9429770862604928E-7</v>
      </c>
      <c r="O24">
        <v>-6.7861456496174275E-7</v>
      </c>
      <c r="P24">
        <v>2.0511257145993688E-5</v>
      </c>
      <c r="Q24">
        <v>4.1054701070938421E-5</v>
      </c>
      <c r="R24">
        <v>-4.0976372089725766E-5</v>
      </c>
      <c r="S24">
        <v>-2.9605523291429867E-5</v>
      </c>
      <c r="T24">
        <v>1.6477356290640617E-4</v>
      </c>
      <c r="U24">
        <v>1.203535054775445E-4</v>
      </c>
      <c r="V24">
        <v>2.2277332102219678E-4</v>
      </c>
      <c r="W24">
        <v>2.0761880180729823E-4</v>
      </c>
      <c r="X24">
        <v>1.8626821000871768E-4</v>
      </c>
      <c r="Y24">
        <v>1.7441813069556844E-3</v>
      </c>
      <c r="Z24">
        <v>3.556367960438523E-5</v>
      </c>
      <c r="AA24">
        <v>2.6481720335456288E-5</v>
      </c>
      <c r="AB24">
        <v>2.4880000686309861E-5</v>
      </c>
      <c r="AC24">
        <v>4.2008507234001798E-5</v>
      </c>
      <c r="AD24">
        <v>8.3035817188522112E-6</v>
      </c>
      <c r="AE24">
        <v>3.1781868428906518E-5</v>
      </c>
      <c r="AF24">
        <v>1.9585030899976394E-5</v>
      </c>
      <c r="AG24">
        <v>2.2220508766128009E-5</v>
      </c>
      <c r="AH24">
        <v>5.0565576058969109E-5</v>
      </c>
      <c r="AI24">
        <v>-3.2411983267259916E-7</v>
      </c>
      <c r="AJ24">
        <v>-3.0910563450806182E-5</v>
      </c>
      <c r="AK24">
        <v>7.4066025834643309E-7</v>
      </c>
      <c r="AL24">
        <v>-7.559320412444803E-7</v>
      </c>
      <c r="AM24">
        <v>9.2797832262293092E-6</v>
      </c>
      <c r="AN24">
        <v>2.2139466005956926E-5</v>
      </c>
      <c r="AO24">
        <v>-1.9777596388811122E-4</v>
      </c>
      <c r="AP24">
        <v>-4.2148039502456716E-5</v>
      </c>
      <c r="AQ24">
        <v>-7.8973286251559846E-4</v>
      </c>
    </row>
    <row r="25" spans="1:43" x14ac:dyDescent="0.2">
      <c r="A25" t="s">
        <v>85</v>
      </c>
      <c r="B25">
        <v>-0.17402419346224357</v>
      </c>
      <c r="C25">
        <v>-1.1421268311127372E-4</v>
      </c>
      <c r="D25">
        <v>-1.8098109258137722E-7</v>
      </c>
      <c r="E25">
        <v>-1.554596129123894E-6</v>
      </c>
      <c r="F25">
        <v>1.3240508861791988E-8</v>
      </c>
      <c r="G25">
        <v>4.030904303581338E-7</v>
      </c>
      <c r="H25">
        <v>5.2327896348357932E-7</v>
      </c>
      <c r="I25">
        <v>-6.1015386470842303E-7</v>
      </c>
      <c r="J25">
        <v>2.3761205238662293E-5</v>
      </c>
      <c r="K25">
        <v>-2.2594282908060796E-7</v>
      </c>
      <c r="L25">
        <v>4.2184133436704265E-6</v>
      </c>
      <c r="M25">
        <v>1.0670760296230538E-4</v>
      </c>
      <c r="N25">
        <v>-2.3445736977434596E-7</v>
      </c>
      <c r="O25">
        <v>3.2841494272056997E-7</v>
      </c>
      <c r="P25">
        <v>-1.24481380001144E-5</v>
      </c>
      <c r="Q25">
        <v>7.3247729906163327E-6</v>
      </c>
      <c r="R25">
        <v>-1.673064616434543E-5</v>
      </c>
      <c r="S25">
        <v>-3.7699873412442908E-5</v>
      </c>
      <c r="T25">
        <v>1.8896974111479387E-4</v>
      </c>
      <c r="U25">
        <v>1.7123697341859872E-4</v>
      </c>
      <c r="V25">
        <v>1.8340106613521766E-4</v>
      </c>
      <c r="W25">
        <v>-8.1280107854489779E-6</v>
      </c>
      <c r="X25">
        <v>8.7828667219729852E-6</v>
      </c>
      <c r="Y25">
        <v>3.556367960438523E-5</v>
      </c>
      <c r="Z25">
        <v>2.2643089397942698E-3</v>
      </c>
      <c r="AA25">
        <v>9.0310845592752567E-4</v>
      </c>
      <c r="AB25">
        <v>8.9733440730335322E-4</v>
      </c>
      <c r="AC25">
        <v>8.9944013357279805E-4</v>
      </c>
      <c r="AD25">
        <v>8.8313607504135114E-4</v>
      </c>
      <c r="AE25">
        <v>8.9835957788430459E-4</v>
      </c>
      <c r="AF25">
        <v>8.9586124247047118E-4</v>
      </c>
      <c r="AG25">
        <v>9.1096174142994159E-4</v>
      </c>
      <c r="AH25">
        <v>9.1049257266128671E-4</v>
      </c>
      <c r="AI25">
        <v>9.0607878208658662E-4</v>
      </c>
      <c r="AJ25">
        <v>9.110532349696737E-4</v>
      </c>
      <c r="AK25">
        <v>-1.9843570299915765E-6</v>
      </c>
      <c r="AL25">
        <v>9.927401217004588E-6</v>
      </c>
      <c r="AM25">
        <v>1.9729669493177385E-5</v>
      </c>
      <c r="AN25">
        <v>3.0485475135634158E-4</v>
      </c>
      <c r="AO25">
        <v>5.604012716093551E-4</v>
      </c>
      <c r="AP25">
        <v>2.9124072486602756E-4</v>
      </c>
      <c r="AQ25">
        <v>-1.0574170273140746E-3</v>
      </c>
    </row>
    <row r="26" spans="1:43" x14ac:dyDescent="0.2">
      <c r="A26" t="s">
        <v>86</v>
      </c>
      <c r="B26">
        <v>-0.12128350374323024</v>
      </c>
      <c r="C26">
        <v>-7.1157356876332681E-5</v>
      </c>
      <c r="D26">
        <v>9.1584062680575488E-7</v>
      </c>
      <c r="E26">
        <v>3.4846522937231683E-7</v>
      </c>
      <c r="F26">
        <v>-9.555898686573974E-11</v>
      </c>
      <c r="G26">
        <v>7.3225119547388344E-7</v>
      </c>
      <c r="H26">
        <v>2.5450904438992573E-7</v>
      </c>
      <c r="I26">
        <v>-2.4822859550268475E-6</v>
      </c>
      <c r="J26">
        <v>2.5189476483588105E-5</v>
      </c>
      <c r="K26">
        <v>1.8038922626601968E-8</v>
      </c>
      <c r="L26">
        <v>1.9464843245723637E-6</v>
      </c>
      <c r="M26">
        <v>4.7168488882499607E-5</v>
      </c>
      <c r="N26">
        <v>-4.9349294092643491E-7</v>
      </c>
      <c r="O26">
        <v>6.2203399019775973E-7</v>
      </c>
      <c r="P26">
        <v>-7.1139865647391378E-6</v>
      </c>
      <c r="Q26">
        <v>5.9951716691638486E-6</v>
      </c>
      <c r="R26">
        <v>-1.8053068687891148E-5</v>
      </c>
      <c r="S26">
        <v>-3.1161016461971389E-5</v>
      </c>
      <c r="T26">
        <v>2.1835060745532429E-4</v>
      </c>
      <c r="U26">
        <v>2.3016645610833466E-4</v>
      </c>
      <c r="V26">
        <v>1.874247124997448E-4</v>
      </c>
      <c r="W26">
        <v>-1.1530165906489833E-5</v>
      </c>
      <c r="X26">
        <v>2.2256091816745001E-5</v>
      </c>
      <c r="Y26">
        <v>2.6481720335456288E-5</v>
      </c>
      <c r="Z26">
        <v>9.0310845592752567E-4</v>
      </c>
      <c r="AA26">
        <v>1.4286983240957155E-3</v>
      </c>
      <c r="AB26">
        <v>8.8926669322618771E-4</v>
      </c>
      <c r="AC26">
        <v>8.9186031489103769E-4</v>
      </c>
      <c r="AD26">
        <v>8.7592761319474756E-4</v>
      </c>
      <c r="AE26">
        <v>8.8912185411023825E-4</v>
      </c>
      <c r="AF26">
        <v>8.8681786621071907E-4</v>
      </c>
      <c r="AG26">
        <v>9.0126091701887053E-4</v>
      </c>
      <c r="AH26">
        <v>9.0048425485611538E-4</v>
      </c>
      <c r="AI26">
        <v>8.9519580782697903E-4</v>
      </c>
      <c r="AJ26">
        <v>8.9801270166897358E-4</v>
      </c>
      <c r="AK26">
        <v>-1.8397084860086237E-6</v>
      </c>
      <c r="AL26">
        <v>1.0938814995447478E-6</v>
      </c>
      <c r="AM26">
        <v>1.3793627208297487E-5</v>
      </c>
      <c r="AN26">
        <v>2.5230010396980684E-4</v>
      </c>
      <c r="AO26">
        <v>5.2541776816599189E-4</v>
      </c>
      <c r="AP26">
        <v>2.6522480373667291E-4</v>
      </c>
      <c r="AQ26">
        <v>-1.1253061769328843E-3</v>
      </c>
    </row>
    <row r="27" spans="1:43" x14ac:dyDescent="0.2">
      <c r="A27" t="s">
        <v>87</v>
      </c>
      <c r="B27">
        <v>-3.4357756851293171E-2</v>
      </c>
      <c r="C27">
        <v>-9.5827275323271332E-5</v>
      </c>
      <c r="D27">
        <v>1.3378983637464889E-6</v>
      </c>
      <c r="E27">
        <v>9.6370427078295174E-7</v>
      </c>
      <c r="F27">
        <v>-5.6011919666030592E-9</v>
      </c>
      <c r="G27">
        <v>9.7215629750651126E-7</v>
      </c>
      <c r="H27">
        <v>-3.9829251870862885E-8</v>
      </c>
      <c r="I27">
        <v>-1.6666009619943483E-6</v>
      </c>
      <c r="J27">
        <v>2.4911754951826009E-5</v>
      </c>
      <c r="K27">
        <v>9.4711691161473061E-7</v>
      </c>
      <c r="L27">
        <v>2.0439802341401004E-6</v>
      </c>
      <c r="M27">
        <v>5.5776550242123718E-5</v>
      </c>
      <c r="N27">
        <v>-6.3108980518821491E-7</v>
      </c>
      <c r="O27">
        <v>1.7628717897283451E-6</v>
      </c>
      <c r="P27">
        <v>-9.0234872931301039E-6</v>
      </c>
      <c r="Q27">
        <v>3.5660976870725181E-6</v>
      </c>
      <c r="R27">
        <v>-1.1002198336881994E-5</v>
      </c>
      <c r="S27">
        <v>-2.6958527843222332E-5</v>
      </c>
      <c r="T27">
        <v>2.137134375191827E-4</v>
      </c>
      <c r="U27">
        <v>1.9396031790489248E-4</v>
      </c>
      <c r="V27">
        <v>1.9815396336176358E-4</v>
      </c>
      <c r="W27">
        <v>4.6807989871233593E-6</v>
      </c>
      <c r="X27">
        <v>3.2140971927973949E-5</v>
      </c>
      <c r="Y27">
        <v>2.4880000686309861E-5</v>
      </c>
      <c r="Z27">
        <v>8.9733440730335322E-4</v>
      </c>
      <c r="AA27">
        <v>8.8926669322618771E-4</v>
      </c>
      <c r="AB27">
        <v>1.4913215615788092E-3</v>
      </c>
      <c r="AC27">
        <v>8.8631088975783226E-4</v>
      </c>
      <c r="AD27">
        <v>8.6986166263651921E-4</v>
      </c>
      <c r="AE27">
        <v>8.8315450304416409E-4</v>
      </c>
      <c r="AF27">
        <v>8.8067154697493233E-4</v>
      </c>
      <c r="AG27">
        <v>8.9432207640549827E-4</v>
      </c>
      <c r="AH27">
        <v>8.9427362520911138E-4</v>
      </c>
      <c r="AI27">
        <v>8.8796443298772205E-4</v>
      </c>
      <c r="AJ27">
        <v>8.9122586012820092E-4</v>
      </c>
      <c r="AK27">
        <v>-3.0385742748671827E-6</v>
      </c>
      <c r="AL27">
        <v>6.888773622146487E-6</v>
      </c>
      <c r="AM27">
        <v>1.6383487060962809E-5</v>
      </c>
      <c r="AN27">
        <v>2.3691434326708673E-4</v>
      </c>
      <c r="AO27">
        <v>5.1523367458185634E-4</v>
      </c>
      <c r="AP27">
        <v>2.4098535703640365E-4</v>
      </c>
      <c r="AQ27">
        <v>-1.1255392383441667E-3</v>
      </c>
    </row>
    <row r="28" spans="1:43" x14ac:dyDescent="0.2">
      <c r="A28" t="s">
        <v>88</v>
      </c>
      <c r="B28">
        <v>9.4813364242089179E-2</v>
      </c>
      <c r="C28">
        <v>-7.5239724229957502E-5</v>
      </c>
      <c r="D28">
        <v>-6.1549162901437717E-6</v>
      </c>
      <c r="E28">
        <v>4.9853983264894078E-7</v>
      </c>
      <c r="F28">
        <v>-6.8625413909345598E-10</v>
      </c>
      <c r="G28">
        <v>7.628722424477084E-7</v>
      </c>
      <c r="H28">
        <v>-7.137033088077325E-8</v>
      </c>
      <c r="I28">
        <v>-8.9009357384813043E-7</v>
      </c>
      <c r="J28">
        <v>2.6615447600531253E-5</v>
      </c>
      <c r="K28">
        <v>5.7845817418366528E-7</v>
      </c>
      <c r="L28">
        <v>3.6443197522453419E-6</v>
      </c>
      <c r="M28">
        <v>5.4915695217859706E-5</v>
      </c>
      <c r="N28">
        <v>-1.5214710728784099E-6</v>
      </c>
      <c r="O28">
        <v>1.521661881524356E-6</v>
      </c>
      <c r="P28">
        <v>-9.5126653586470234E-6</v>
      </c>
      <c r="Q28">
        <v>6.9008433501959678E-6</v>
      </c>
      <c r="R28">
        <v>-3.8575766730617096E-5</v>
      </c>
      <c r="S28">
        <v>-3.5302385877402644E-5</v>
      </c>
      <c r="T28">
        <v>2.4555890700369643E-4</v>
      </c>
      <c r="U28">
        <v>2.3804794735994041E-4</v>
      </c>
      <c r="V28">
        <v>2.1941490708376555E-4</v>
      </c>
      <c r="W28">
        <v>9.6452370406156584E-6</v>
      </c>
      <c r="X28">
        <v>2.5938683372172985E-5</v>
      </c>
      <c r="Y28">
        <v>4.2008507234001798E-5</v>
      </c>
      <c r="Z28">
        <v>8.9944013357279805E-4</v>
      </c>
      <c r="AA28">
        <v>8.9186031489103769E-4</v>
      </c>
      <c r="AB28">
        <v>8.8631088975783226E-4</v>
      </c>
      <c r="AC28">
        <v>1.5652144882545354E-3</v>
      </c>
      <c r="AD28">
        <v>8.7481296303847122E-4</v>
      </c>
      <c r="AE28">
        <v>8.8503657092179949E-4</v>
      </c>
      <c r="AF28">
        <v>8.8401025574384186E-4</v>
      </c>
      <c r="AG28">
        <v>8.9823143492213063E-4</v>
      </c>
      <c r="AH28">
        <v>8.9689700354042513E-4</v>
      </c>
      <c r="AI28">
        <v>8.8952586659793106E-4</v>
      </c>
      <c r="AJ28">
        <v>8.9419302546111927E-4</v>
      </c>
      <c r="AK28">
        <v>-2.7818918714079838E-6</v>
      </c>
      <c r="AL28">
        <v>4.3352930936790867E-6</v>
      </c>
      <c r="AM28">
        <v>6.2732979937052315E-6</v>
      </c>
      <c r="AN28">
        <v>2.4336525922621065E-4</v>
      </c>
      <c r="AO28">
        <v>5.1586904643526673E-4</v>
      </c>
      <c r="AP28">
        <v>2.3032089079692166E-4</v>
      </c>
      <c r="AQ28">
        <v>-1.1168146127274411E-3</v>
      </c>
    </row>
    <row r="29" spans="1:43" x14ac:dyDescent="0.2">
      <c r="A29" t="s">
        <v>89</v>
      </c>
      <c r="B29">
        <v>6.6533643633440595E-2</v>
      </c>
      <c r="C29">
        <v>-9.2088124658896991E-5</v>
      </c>
      <c r="D29">
        <v>-8.3535787507535994E-7</v>
      </c>
      <c r="E29">
        <v>8.3669657006289137E-7</v>
      </c>
      <c r="F29">
        <v>-4.3068129242298821E-9</v>
      </c>
      <c r="G29">
        <v>7.0061153935674248E-7</v>
      </c>
      <c r="H29">
        <v>3.6730068650807748E-7</v>
      </c>
      <c r="I29">
        <v>-2.4152703068588792E-6</v>
      </c>
      <c r="J29">
        <v>1.870831920935205E-5</v>
      </c>
      <c r="K29">
        <v>9.669221543105982E-8</v>
      </c>
      <c r="L29">
        <v>1.3408309177432457E-6</v>
      </c>
      <c r="M29">
        <v>7.44961857482884E-5</v>
      </c>
      <c r="N29">
        <v>-1.2780145405637425E-6</v>
      </c>
      <c r="O29">
        <v>1.5831826287319811E-6</v>
      </c>
      <c r="P29">
        <v>-5.9537375077296292E-6</v>
      </c>
      <c r="Q29">
        <v>9.4832944414223213E-6</v>
      </c>
      <c r="R29">
        <v>-3.7146697181530822E-5</v>
      </c>
      <c r="S29">
        <v>-2.4274527796576658E-5</v>
      </c>
      <c r="T29">
        <v>1.7184024581447591E-4</v>
      </c>
      <c r="U29">
        <v>1.6809440923193234E-4</v>
      </c>
      <c r="V29">
        <v>1.5288878574620346E-4</v>
      </c>
      <c r="W29">
        <v>2.9414491955714975E-6</v>
      </c>
      <c r="X29">
        <v>1.6040866160608869E-5</v>
      </c>
      <c r="Y29">
        <v>8.3035817188522112E-6</v>
      </c>
      <c r="Z29">
        <v>8.8313607504135114E-4</v>
      </c>
      <c r="AA29">
        <v>8.7592761319474756E-4</v>
      </c>
      <c r="AB29">
        <v>8.6986166263651921E-4</v>
      </c>
      <c r="AC29">
        <v>8.7481296303847122E-4</v>
      </c>
      <c r="AD29">
        <v>1.5977305397011198E-3</v>
      </c>
      <c r="AE29">
        <v>8.6968273625550457E-4</v>
      </c>
      <c r="AF29">
        <v>8.6803634783542071E-4</v>
      </c>
      <c r="AG29">
        <v>8.8381380403892019E-4</v>
      </c>
      <c r="AH29">
        <v>8.8102256184497611E-4</v>
      </c>
      <c r="AI29">
        <v>8.7488123992461152E-4</v>
      </c>
      <c r="AJ29">
        <v>8.7993395258219417E-4</v>
      </c>
      <c r="AK29">
        <v>-2.0652730466941971E-6</v>
      </c>
      <c r="AL29">
        <v>9.4897975421002361E-6</v>
      </c>
      <c r="AM29">
        <v>1.762458514420493E-5</v>
      </c>
      <c r="AN29">
        <v>1.9245179456493843E-4</v>
      </c>
      <c r="AO29">
        <v>4.7346838401117117E-4</v>
      </c>
      <c r="AP29">
        <v>2.2264876305594407E-4</v>
      </c>
      <c r="AQ29">
        <v>-1.0691269010275029E-3</v>
      </c>
    </row>
    <row r="30" spans="1:43" x14ac:dyDescent="0.2">
      <c r="A30" t="s">
        <v>90</v>
      </c>
      <c r="B30">
        <v>0.12162850563587969</v>
      </c>
      <c r="C30">
        <v>-1.0053749928422428E-4</v>
      </c>
      <c r="D30">
        <v>-7.1303797812851094E-6</v>
      </c>
      <c r="E30">
        <v>5.8390579298937882E-7</v>
      </c>
      <c r="F30">
        <v>-5.2950621224336978E-9</v>
      </c>
      <c r="G30">
        <v>3.8823774546283655E-7</v>
      </c>
      <c r="H30">
        <v>3.5085484971269978E-8</v>
      </c>
      <c r="I30">
        <v>-8.7829517724221087E-7</v>
      </c>
      <c r="J30">
        <v>1.7843590935968153E-5</v>
      </c>
      <c r="K30">
        <v>-5.6366009029554511E-7</v>
      </c>
      <c r="L30">
        <v>2.044979255517497E-6</v>
      </c>
      <c r="M30">
        <v>7.9942688338662438E-5</v>
      </c>
      <c r="N30">
        <v>-8.7018536049049983E-7</v>
      </c>
      <c r="O30">
        <v>1.5568605010509957E-6</v>
      </c>
      <c r="P30">
        <v>-9.5115129037049231E-6</v>
      </c>
      <c r="Q30">
        <v>4.8344269820955119E-6</v>
      </c>
      <c r="R30">
        <v>-3.030619034229728E-5</v>
      </c>
      <c r="S30">
        <v>-3.6676749646565065E-5</v>
      </c>
      <c r="T30">
        <v>1.4792372966857242E-4</v>
      </c>
      <c r="U30">
        <v>1.4335718777969174E-4</v>
      </c>
      <c r="V30">
        <v>1.3705754776461784E-4</v>
      </c>
      <c r="W30">
        <v>-6.2729503890065309E-6</v>
      </c>
      <c r="X30">
        <v>2.0590953008646436E-5</v>
      </c>
      <c r="Y30">
        <v>3.1781868428906518E-5</v>
      </c>
      <c r="Z30">
        <v>8.9835957788430459E-4</v>
      </c>
      <c r="AA30">
        <v>8.8912185411023825E-4</v>
      </c>
      <c r="AB30">
        <v>8.8315450304416409E-4</v>
      </c>
      <c r="AC30">
        <v>8.8503657092179949E-4</v>
      </c>
      <c r="AD30">
        <v>8.6968273625550457E-4</v>
      </c>
      <c r="AE30">
        <v>1.4633035106260894E-3</v>
      </c>
      <c r="AF30">
        <v>8.8040761073693687E-4</v>
      </c>
      <c r="AG30">
        <v>8.9511123946400058E-4</v>
      </c>
      <c r="AH30">
        <v>8.9356412107554142E-4</v>
      </c>
      <c r="AI30">
        <v>8.8777698926056393E-4</v>
      </c>
      <c r="AJ30">
        <v>8.8691264365469878E-4</v>
      </c>
      <c r="AK30">
        <v>-1.7303416741255959E-6</v>
      </c>
      <c r="AL30">
        <v>-6.0571454189318584E-6</v>
      </c>
      <c r="AM30">
        <v>8.5963102936590773E-6</v>
      </c>
      <c r="AN30">
        <v>2.794060610882633E-4</v>
      </c>
      <c r="AO30">
        <v>4.9217002204159923E-4</v>
      </c>
      <c r="AP30">
        <v>2.4546511861881811E-4</v>
      </c>
      <c r="AQ30">
        <v>-1.021122867379608E-3</v>
      </c>
    </row>
    <row r="31" spans="1:43" x14ac:dyDescent="0.2">
      <c r="A31" t="s">
        <v>91</v>
      </c>
      <c r="B31">
        <v>0.14850303172956056</v>
      </c>
      <c r="C31">
        <v>-7.2673065498201657E-5</v>
      </c>
      <c r="D31">
        <v>1.7914994149075445E-6</v>
      </c>
      <c r="E31">
        <v>-9.6135341551310875E-8</v>
      </c>
      <c r="F31">
        <v>1.7991213324378967E-9</v>
      </c>
      <c r="G31">
        <v>-3.3776980628943065E-7</v>
      </c>
      <c r="H31">
        <v>2.4351785901725064E-8</v>
      </c>
      <c r="I31">
        <v>-8.2109043944235195E-7</v>
      </c>
      <c r="J31">
        <v>1.8181270113537339E-5</v>
      </c>
      <c r="K31">
        <v>-1.2217770953583283E-7</v>
      </c>
      <c r="L31">
        <v>1.5514434767172305E-6</v>
      </c>
      <c r="M31">
        <v>3.0729973177549705E-5</v>
      </c>
      <c r="N31">
        <v>-6.5570018804992811E-7</v>
      </c>
      <c r="O31">
        <v>1.4588320368623025E-6</v>
      </c>
      <c r="P31">
        <v>-1.1056774850100551E-5</v>
      </c>
      <c r="Q31">
        <v>3.5847987254440523E-6</v>
      </c>
      <c r="R31">
        <v>-9.501063999625643E-6</v>
      </c>
      <c r="S31">
        <v>-2.1672540264367279E-5</v>
      </c>
      <c r="T31">
        <v>1.4542350183789762E-4</v>
      </c>
      <c r="U31">
        <v>1.5884348050180705E-4</v>
      </c>
      <c r="V31">
        <v>1.3900112583363684E-4</v>
      </c>
      <c r="W31">
        <v>-7.5988379657852118E-7</v>
      </c>
      <c r="X31">
        <v>1.4816561403137779E-5</v>
      </c>
      <c r="Y31">
        <v>1.9585030899976394E-5</v>
      </c>
      <c r="Z31">
        <v>8.9586124247047118E-4</v>
      </c>
      <c r="AA31">
        <v>8.8681786621071907E-4</v>
      </c>
      <c r="AB31">
        <v>8.8067154697493233E-4</v>
      </c>
      <c r="AC31">
        <v>8.8401025574384186E-4</v>
      </c>
      <c r="AD31">
        <v>8.6803634783542071E-4</v>
      </c>
      <c r="AE31">
        <v>8.8040761073693687E-4</v>
      </c>
      <c r="AF31">
        <v>1.3488700679471148E-3</v>
      </c>
      <c r="AG31">
        <v>8.9382039600934601E-4</v>
      </c>
      <c r="AH31">
        <v>8.9276450717978742E-4</v>
      </c>
      <c r="AI31">
        <v>8.8817265161502648E-4</v>
      </c>
      <c r="AJ31">
        <v>8.9105058096489414E-4</v>
      </c>
      <c r="AK31">
        <v>-7.796402848189531E-7</v>
      </c>
      <c r="AL31">
        <v>1.4171887229963336E-6</v>
      </c>
      <c r="AM31">
        <v>7.966623321538964E-6</v>
      </c>
      <c r="AN31">
        <v>2.5865387585751094E-4</v>
      </c>
      <c r="AO31">
        <v>5.106170962179649E-4</v>
      </c>
      <c r="AP31">
        <v>2.3535096587104355E-4</v>
      </c>
      <c r="AQ31">
        <v>-1.0071927157131034E-3</v>
      </c>
    </row>
    <row r="32" spans="1:43" x14ac:dyDescent="0.2">
      <c r="A32" t="s">
        <v>92</v>
      </c>
      <c r="B32">
        <v>0.1137042676055998</v>
      </c>
      <c r="C32">
        <v>-8.2670601835325167E-5</v>
      </c>
      <c r="D32">
        <v>7.4404253121121043E-7</v>
      </c>
      <c r="E32">
        <v>-8.0639143352826244E-7</v>
      </c>
      <c r="F32">
        <v>3.0691215779154671E-9</v>
      </c>
      <c r="G32">
        <v>2.3554076066913841E-7</v>
      </c>
      <c r="H32">
        <v>2.0164206012560356E-7</v>
      </c>
      <c r="I32">
        <v>-2.0789955804540736E-6</v>
      </c>
      <c r="J32">
        <v>3.4587132706817905E-5</v>
      </c>
      <c r="K32">
        <v>8.4107439391494895E-7</v>
      </c>
      <c r="L32">
        <v>3.2023995915361591E-7</v>
      </c>
      <c r="M32">
        <v>5.0772921797146163E-5</v>
      </c>
      <c r="N32">
        <v>-1.0618184234112808E-6</v>
      </c>
      <c r="O32">
        <v>1.3062011391727332E-6</v>
      </c>
      <c r="P32">
        <v>-9.1477461978019863E-6</v>
      </c>
      <c r="Q32">
        <v>1.2283311947706697E-5</v>
      </c>
      <c r="R32">
        <v>-1.7748418167566865E-5</v>
      </c>
      <c r="S32">
        <v>-3.4440891761429188E-5</v>
      </c>
      <c r="T32">
        <v>2.9821692496694203E-4</v>
      </c>
      <c r="U32">
        <v>2.8208813829611393E-4</v>
      </c>
      <c r="V32">
        <v>3.0223559551949752E-4</v>
      </c>
      <c r="W32">
        <v>-1.1191950456792421E-5</v>
      </c>
      <c r="X32">
        <v>1.8789753276600478E-5</v>
      </c>
      <c r="Y32">
        <v>2.2220508766128009E-5</v>
      </c>
      <c r="Z32">
        <v>9.1096174142994159E-4</v>
      </c>
      <c r="AA32">
        <v>9.0126091701887053E-4</v>
      </c>
      <c r="AB32">
        <v>8.9432207640549827E-4</v>
      </c>
      <c r="AC32">
        <v>8.9823143492213063E-4</v>
      </c>
      <c r="AD32">
        <v>8.8381380403892019E-4</v>
      </c>
      <c r="AE32">
        <v>8.9511123946400058E-4</v>
      </c>
      <c r="AF32">
        <v>8.9382039600934601E-4</v>
      </c>
      <c r="AG32">
        <v>1.52004511912192E-3</v>
      </c>
      <c r="AH32">
        <v>9.0776444736742471E-4</v>
      </c>
      <c r="AI32">
        <v>9.0213012386209409E-4</v>
      </c>
      <c r="AJ32">
        <v>9.0582790537098803E-4</v>
      </c>
      <c r="AK32">
        <v>-1.812951813041241E-6</v>
      </c>
      <c r="AL32">
        <v>-6.9670767919845987E-7</v>
      </c>
      <c r="AM32">
        <v>6.7746798338793224E-6</v>
      </c>
      <c r="AN32">
        <v>2.9393106906350816E-4</v>
      </c>
      <c r="AO32">
        <v>5.4483097904385104E-4</v>
      </c>
      <c r="AP32">
        <v>2.5048500661762414E-4</v>
      </c>
      <c r="AQ32">
        <v>-1.1403520830044224E-3</v>
      </c>
    </row>
    <row r="33" spans="1:43" x14ac:dyDescent="0.2">
      <c r="A33" t="s">
        <v>93</v>
      </c>
      <c r="B33">
        <v>-0.18926674454548564</v>
      </c>
      <c r="C33">
        <v>-9.8637385516059503E-5</v>
      </c>
      <c r="D33">
        <v>-2.1933938398713032E-6</v>
      </c>
      <c r="E33">
        <v>-1.2564621899193557E-7</v>
      </c>
      <c r="F33">
        <v>-2.1816307333267353E-9</v>
      </c>
      <c r="G33">
        <v>9.2887171548497433E-7</v>
      </c>
      <c r="H33">
        <v>3.809246373009393E-7</v>
      </c>
      <c r="I33">
        <v>-7.7537424626283579E-7</v>
      </c>
      <c r="J33">
        <v>2.7140886182221179E-5</v>
      </c>
      <c r="K33">
        <v>4.7879081453499565E-8</v>
      </c>
      <c r="L33">
        <v>2.7589313642287461E-6</v>
      </c>
      <c r="M33">
        <v>5.9783750706805266E-5</v>
      </c>
      <c r="N33">
        <v>-5.3198757825802211E-7</v>
      </c>
      <c r="O33">
        <v>1.046665239588025E-6</v>
      </c>
      <c r="P33">
        <v>-9.8158814191650316E-6</v>
      </c>
      <c r="Q33">
        <v>2.6397729919579855E-6</v>
      </c>
      <c r="R33">
        <v>-2.4836544990261664E-5</v>
      </c>
      <c r="S33">
        <v>-3.7211895731575114E-5</v>
      </c>
      <c r="T33">
        <v>2.2722927631998405E-4</v>
      </c>
      <c r="U33">
        <v>2.3066574085791724E-4</v>
      </c>
      <c r="V33">
        <v>2.1957722639137124E-4</v>
      </c>
      <c r="W33">
        <v>-1.7889035298264682E-6</v>
      </c>
      <c r="X33">
        <v>1.0168599436114042E-5</v>
      </c>
      <c r="Y33">
        <v>5.0565576058969109E-5</v>
      </c>
      <c r="Z33">
        <v>9.1049257266128671E-4</v>
      </c>
      <c r="AA33">
        <v>9.0048425485611538E-4</v>
      </c>
      <c r="AB33">
        <v>8.9427362520911138E-4</v>
      </c>
      <c r="AC33">
        <v>8.9689700354042513E-4</v>
      </c>
      <c r="AD33">
        <v>8.8102256184497611E-4</v>
      </c>
      <c r="AE33">
        <v>8.9356412107554142E-4</v>
      </c>
      <c r="AF33">
        <v>8.9276450717978742E-4</v>
      </c>
      <c r="AG33">
        <v>9.0776444736742471E-4</v>
      </c>
      <c r="AH33">
        <v>1.7432094203347552E-3</v>
      </c>
      <c r="AI33">
        <v>9.0149089014114039E-4</v>
      </c>
      <c r="AJ33">
        <v>9.0674644931775579E-4</v>
      </c>
      <c r="AK33">
        <v>-1.0184026088747153E-7</v>
      </c>
      <c r="AL33">
        <v>-9.9743949189776024E-6</v>
      </c>
      <c r="AM33">
        <v>6.7626303773373324E-7</v>
      </c>
      <c r="AN33">
        <v>2.7632824816780971E-4</v>
      </c>
      <c r="AO33">
        <v>5.468252967426731E-4</v>
      </c>
      <c r="AP33">
        <v>2.668521006553412E-4</v>
      </c>
      <c r="AQ33">
        <v>-1.1613047151109602E-3</v>
      </c>
    </row>
    <row r="34" spans="1:43" x14ac:dyDescent="0.2">
      <c r="A34" t="s">
        <v>94</v>
      </c>
      <c r="B34">
        <v>-0.21975640116868048</v>
      </c>
      <c r="C34">
        <v>-8.7011230736958034E-5</v>
      </c>
      <c r="D34">
        <v>-3.7691569786691152E-6</v>
      </c>
      <c r="E34">
        <v>-2.3204536483603503E-6</v>
      </c>
      <c r="F34">
        <v>2.1199968749848828E-8</v>
      </c>
      <c r="G34">
        <v>5.4306239848265304E-7</v>
      </c>
      <c r="H34">
        <v>-2.4718676895659264E-7</v>
      </c>
      <c r="I34">
        <v>-8.0196696430397633E-7</v>
      </c>
      <c r="J34">
        <v>1.8037605089649979E-5</v>
      </c>
      <c r="K34">
        <v>-1.901749454292267E-7</v>
      </c>
      <c r="L34">
        <v>2.4082997162288375E-6</v>
      </c>
      <c r="M34">
        <v>6.3396207924856166E-5</v>
      </c>
      <c r="N34">
        <v>-1.339194182908055E-6</v>
      </c>
      <c r="O34">
        <v>2.1339272873453476E-6</v>
      </c>
      <c r="P34">
        <v>-1.5948848489041269E-5</v>
      </c>
      <c r="Q34">
        <v>8.1950305145357753E-6</v>
      </c>
      <c r="R34">
        <v>5.2629652203104349E-6</v>
      </c>
      <c r="S34">
        <v>-2.5397873193040525E-5</v>
      </c>
      <c r="T34">
        <v>1.3605770031653759E-4</v>
      </c>
      <c r="U34">
        <v>1.3618446540687723E-4</v>
      </c>
      <c r="V34">
        <v>1.3487912108057533E-4</v>
      </c>
      <c r="W34">
        <v>2.3235227218103738E-7</v>
      </c>
      <c r="X34">
        <v>5.4368522557561409E-6</v>
      </c>
      <c r="Y34">
        <v>-3.2411983267259916E-7</v>
      </c>
      <c r="Z34">
        <v>9.0607878208658662E-4</v>
      </c>
      <c r="AA34">
        <v>8.9519580782697903E-4</v>
      </c>
      <c r="AB34">
        <v>8.8796443298772205E-4</v>
      </c>
      <c r="AC34">
        <v>8.8952586659793106E-4</v>
      </c>
      <c r="AD34">
        <v>8.7488123992461152E-4</v>
      </c>
      <c r="AE34">
        <v>8.8777698926056393E-4</v>
      </c>
      <c r="AF34">
        <v>8.8817265161502648E-4</v>
      </c>
      <c r="AG34">
        <v>9.0213012386209409E-4</v>
      </c>
      <c r="AH34">
        <v>9.0149089014114039E-4</v>
      </c>
      <c r="AI34">
        <v>1.4680973287569128E-3</v>
      </c>
      <c r="AJ34">
        <v>9.0159537336949281E-4</v>
      </c>
      <c r="AK34">
        <v>-1.0555638057832789E-6</v>
      </c>
      <c r="AL34">
        <v>-1.0132629336002964E-5</v>
      </c>
      <c r="AM34">
        <v>-5.4776879430995629E-6</v>
      </c>
      <c r="AN34">
        <v>2.7960218164159087E-4</v>
      </c>
      <c r="AO34">
        <v>5.5290131234594876E-4</v>
      </c>
      <c r="AP34">
        <v>2.6981809380769074E-4</v>
      </c>
      <c r="AQ34">
        <v>-9.7434081598677974E-4</v>
      </c>
    </row>
    <row r="35" spans="1:43" x14ac:dyDescent="0.2">
      <c r="A35" t="s">
        <v>95</v>
      </c>
      <c r="B35">
        <v>-0.37168744852271351</v>
      </c>
      <c r="C35">
        <v>-8.8532193210754469E-5</v>
      </c>
      <c r="D35">
        <v>-1.9807470213305218E-5</v>
      </c>
      <c r="E35">
        <v>-2.457874486515028E-6</v>
      </c>
      <c r="F35">
        <v>1.6332819942155062E-8</v>
      </c>
      <c r="G35">
        <v>7.8911258591106526E-7</v>
      </c>
      <c r="H35">
        <v>5.5865642568177264E-8</v>
      </c>
      <c r="I35">
        <v>-8.9387260280772645E-7</v>
      </c>
      <c r="J35">
        <v>2.8053739253538698E-5</v>
      </c>
      <c r="K35">
        <v>2.2866122885937057E-6</v>
      </c>
      <c r="L35">
        <v>5.0024728457477256E-6</v>
      </c>
      <c r="M35">
        <v>7.4892457548385953E-5</v>
      </c>
      <c r="N35">
        <v>-4.8230710964089973E-7</v>
      </c>
      <c r="O35">
        <v>7.7784075791434488E-7</v>
      </c>
      <c r="P35">
        <v>-9.9437770080321712E-6</v>
      </c>
      <c r="Q35">
        <v>9.8992891429425342E-7</v>
      </c>
      <c r="R35">
        <v>-2.0811236843182464E-5</v>
      </c>
      <c r="S35">
        <v>-1.0179612621424427E-6</v>
      </c>
      <c r="T35">
        <v>2.1691515767226915E-4</v>
      </c>
      <c r="U35">
        <v>2.3468446320236251E-4</v>
      </c>
      <c r="V35">
        <v>2.457263492427076E-4</v>
      </c>
      <c r="W35">
        <v>-2.6902127572729542E-5</v>
      </c>
      <c r="X35">
        <v>-1.965999981710367E-5</v>
      </c>
      <c r="Y35">
        <v>-3.0910563450806182E-5</v>
      </c>
      <c r="Z35">
        <v>9.110532349696737E-4</v>
      </c>
      <c r="AA35">
        <v>8.9801270166897358E-4</v>
      </c>
      <c r="AB35">
        <v>8.9122586012820092E-4</v>
      </c>
      <c r="AC35">
        <v>8.9419302546111927E-4</v>
      </c>
      <c r="AD35">
        <v>8.7993395258219417E-4</v>
      </c>
      <c r="AE35">
        <v>8.8691264365469878E-4</v>
      </c>
      <c r="AF35">
        <v>8.9105058096489414E-4</v>
      </c>
      <c r="AG35">
        <v>9.0582790537098803E-4</v>
      </c>
      <c r="AH35">
        <v>9.0674644931775579E-4</v>
      </c>
      <c r="AI35">
        <v>9.0159537336949281E-4</v>
      </c>
      <c r="AJ35">
        <v>2.1122416891906203E-3</v>
      </c>
      <c r="AK35">
        <v>-2.7040375316089173E-6</v>
      </c>
      <c r="AL35">
        <v>2.180263099932576E-5</v>
      </c>
      <c r="AM35">
        <v>2.6992899271035752E-5</v>
      </c>
      <c r="AN35">
        <v>3.1121782588407269E-4</v>
      </c>
      <c r="AO35">
        <v>5.7555398708560327E-4</v>
      </c>
      <c r="AP35">
        <v>2.7709847444460658E-4</v>
      </c>
      <c r="AQ35">
        <v>-1.0500151160234381E-3</v>
      </c>
    </row>
    <row r="36" spans="1:43" x14ac:dyDescent="0.2">
      <c r="A36" t="s">
        <v>110</v>
      </c>
      <c r="B36">
        <v>-1.8185084912666741E-2</v>
      </c>
      <c r="C36">
        <v>2.1242777674462598E-6</v>
      </c>
      <c r="D36">
        <v>-3.1387158172278487E-7</v>
      </c>
      <c r="E36">
        <v>-2.5931505465958877E-7</v>
      </c>
      <c r="F36">
        <v>8.8507984340377472E-10</v>
      </c>
      <c r="G36">
        <v>1.5413710664726326E-8</v>
      </c>
      <c r="H36">
        <v>1.1797341635898537E-7</v>
      </c>
      <c r="I36">
        <v>2.7364531765809846E-7</v>
      </c>
      <c r="J36">
        <v>-1.9699319711982612E-7</v>
      </c>
      <c r="K36">
        <v>-4.6703827866601447E-8</v>
      </c>
      <c r="L36">
        <v>8.4955460093775054E-8</v>
      </c>
      <c r="M36">
        <v>1.6432461526458206E-6</v>
      </c>
      <c r="N36">
        <v>1.2236633744582907E-9</v>
      </c>
      <c r="O36">
        <v>-1.0695869616380059E-8</v>
      </c>
      <c r="P36">
        <v>-1.5323940663421134E-6</v>
      </c>
      <c r="Q36">
        <v>-6.9740423971823408E-7</v>
      </c>
      <c r="R36">
        <v>5.6795691690475296E-6</v>
      </c>
      <c r="S36">
        <v>1.1385342679436897E-6</v>
      </c>
      <c r="T36">
        <v>-3.6093969530744813E-6</v>
      </c>
      <c r="U36">
        <v>-1.5212988806162075E-6</v>
      </c>
      <c r="V36">
        <v>-1.6194626199332596E-6</v>
      </c>
      <c r="W36">
        <v>1.2684172032255279E-6</v>
      </c>
      <c r="X36">
        <v>1.8665299343922925E-7</v>
      </c>
      <c r="Y36">
        <v>7.4066025834643309E-7</v>
      </c>
      <c r="Z36">
        <v>-1.9843570299915765E-6</v>
      </c>
      <c r="AA36">
        <v>-1.8397084860086237E-6</v>
      </c>
      <c r="AB36">
        <v>-3.0385742748671827E-6</v>
      </c>
      <c r="AC36">
        <v>-2.7818918714079838E-6</v>
      </c>
      <c r="AD36">
        <v>-2.0652730466941971E-6</v>
      </c>
      <c r="AE36">
        <v>-1.7303416741255959E-6</v>
      </c>
      <c r="AF36">
        <v>-7.796402848189531E-7</v>
      </c>
      <c r="AG36">
        <v>-1.812951813041241E-6</v>
      </c>
      <c r="AH36">
        <v>-1.0184026088747153E-7</v>
      </c>
      <c r="AI36">
        <v>-1.0555638057832789E-6</v>
      </c>
      <c r="AJ36">
        <v>-2.7040375316089173E-6</v>
      </c>
      <c r="AK36">
        <v>4.3130837097393483E-6</v>
      </c>
      <c r="AL36">
        <v>-1.4601049078442825E-5</v>
      </c>
      <c r="AM36">
        <v>-1.8173759969755167E-5</v>
      </c>
      <c r="AN36">
        <v>2.5983203804742097E-6</v>
      </c>
      <c r="AO36">
        <v>-1.7680526194335507E-7</v>
      </c>
      <c r="AP36">
        <v>1.9359502534880329E-7</v>
      </c>
      <c r="AQ36">
        <v>-6.3761710382573229E-5</v>
      </c>
    </row>
    <row r="37" spans="1:43" x14ac:dyDescent="0.2">
      <c r="A37" t="s">
        <v>96</v>
      </c>
      <c r="B37">
        <v>-0.15103784840364273</v>
      </c>
      <c r="C37">
        <v>4.5934602093939231E-5</v>
      </c>
      <c r="D37">
        <v>9.9054124717468985E-7</v>
      </c>
      <c r="E37">
        <v>3.95907992393712E-7</v>
      </c>
      <c r="F37">
        <v>-6.1246716461831329E-9</v>
      </c>
      <c r="G37">
        <v>6.6669221522357841E-8</v>
      </c>
      <c r="H37">
        <v>5.6121651134422984E-7</v>
      </c>
      <c r="I37">
        <v>-6.4925914044369506E-8</v>
      </c>
      <c r="J37">
        <v>4.4495975496352908E-6</v>
      </c>
      <c r="K37">
        <v>-1.778872721975151E-6</v>
      </c>
      <c r="L37">
        <v>-1.9086666757249166E-6</v>
      </c>
      <c r="M37">
        <v>-1.9477942842830153E-5</v>
      </c>
      <c r="N37">
        <v>-8.5618059634172716E-7</v>
      </c>
      <c r="O37">
        <v>5.9678476406494927E-7</v>
      </c>
      <c r="P37">
        <v>1.0137668801536726E-6</v>
      </c>
      <c r="Q37">
        <v>-2.108293739817109E-6</v>
      </c>
      <c r="R37">
        <v>3.674825212294058E-6</v>
      </c>
      <c r="S37">
        <v>6.9429646425441548E-6</v>
      </c>
      <c r="T37">
        <v>1.9406690950940218E-5</v>
      </c>
      <c r="U37">
        <v>4.0184866602116964E-5</v>
      </c>
      <c r="V37">
        <v>1.9317542375851335E-5</v>
      </c>
      <c r="W37">
        <v>-6.2817791862080764E-6</v>
      </c>
      <c r="X37">
        <v>-3.9555212853748863E-6</v>
      </c>
      <c r="Y37">
        <v>-7.559320412444803E-7</v>
      </c>
      <c r="Z37">
        <v>9.927401217004588E-6</v>
      </c>
      <c r="AA37">
        <v>1.0938814995447478E-6</v>
      </c>
      <c r="AB37">
        <v>6.888773622146487E-6</v>
      </c>
      <c r="AC37">
        <v>4.3352930936790867E-6</v>
      </c>
      <c r="AD37">
        <v>9.4897975421002361E-6</v>
      </c>
      <c r="AE37">
        <v>-6.0571454189318584E-6</v>
      </c>
      <c r="AF37">
        <v>1.4171887229963336E-6</v>
      </c>
      <c r="AG37">
        <v>-6.9670767919845987E-7</v>
      </c>
      <c r="AH37">
        <v>-9.9743949189776024E-6</v>
      </c>
      <c r="AI37">
        <v>-1.0132629336002964E-5</v>
      </c>
      <c r="AJ37">
        <v>2.180263099932576E-5</v>
      </c>
      <c r="AK37">
        <v>-1.4601049078442825E-5</v>
      </c>
      <c r="AL37">
        <v>5.6490087095285109E-4</v>
      </c>
      <c r="AM37">
        <v>1.2562955752562431E-4</v>
      </c>
      <c r="AN37">
        <v>-2.2961044234686104E-5</v>
      </c>
      <c r="AO37">
        <v>3.0128576704131695E-6</v>
      </c>
      <c r="AP37">
        <v>-2.0933906213611439E-5</v>
      </c>
      <c r="AQ37">
        <v>1.4735171308430099E-4</v>
      </c>
    </row>
    <row r="38" spans="1:43" x14ac:dyDescent="0.2">
      <c r="A38" t="s">
        <v>97</v>
      </c>
      <c r="B38">
        <v>-0.23493816018496164</v>
      </c>
      <c r="C38">
        <v>2.0112865410947097E-5</v>
      </c>
      <c r="D38">
        <v>4.1628249799543328E-6</v>
      </c>
      <c r="E38">
        <v>4.9511357453680632E-7</v>
      </c>
      <c r="F38">
        <v>-8.3301074122231953E-9</v>
      </c>
      <c r="G38">
        <v>-2.4469509811694705E-7</v>
      </c>
      <c r="H38">
        <v>4.3023389352622001E-7</v>
      </c>
      <c r="I38">
        <v>-1.5147743887147257E-6</v>
      </c>
      <c r="J38">
        <v>1.0039153522318749E-6</v>
      </c>
      <c r="K38">
        <v>-5.6439624202679289E-7</v>
      </c>
      <c r="L38">
        <v>-1.4958462892491639E-6</v>
      </c>
      <c r="M38">
        <v>-1.4101474013118334E-5</v>
      </c>
      <c r="N38">
        <v>-1.5972726259833924E-7</v>
      </c>
      <c r="O38">
        <v>5.9313736963137393E-7</v>
      </c>
      <c r="P38">
        <v>-4.9513601076923181E-6</v>
      </c>
      <c r="Q38">
        <v>-1.0630705071193837E-6</v>
      </c>
      <c r="R38">
        <v>8.388906151563815E-6</v>
      </c>
      <c r="S38">
        <v>2.6626784053224945E-6</v>
      </c>
      <c r="T38">
        <v>-2.2533089102254528E-5</v>
      </c>
      <c r="U38">
        <v>1.393291464547305E-5</v>
      </c>
      <c r="V38">
        <v>5.0505145004613194E-6</v>
      </c>
      <c r="W38">
        <v>1.4126519908837973E-6</v>
      </c>
      <c r="X38">
        <v>-1.0515833222648779E-6</v>
      </c>
      <c r="Y38">
        <v>9.2797832262293092E-6</v>
      </c>
      <c r="Z38">
        <v>1.9729669493177385E-5</v>
      </c>
      <c r="AA38">
        <v>1.3793627208297487E-5</v>
      </c>
      <c r="AB38">
        <v>1.6383487060962809E-5</v>
      </c>
      <c r="AC38">
        <v>6.2732979937052315E-6</v>
      </c>
      <c r="AD38">
        <v>1.762458514420493E-5</v>
      </c>
      <c r="AE38">
        <v>8.5963102936590773E-6</v>
      </c>
      <c r="AF38">
        <v>7.966623321538964E-6</v>
      </c>
      <c r="AG38">
        <v>6.7746798338793224E-6</v>
      </c>
      <c r="AH38">
        <v>6.7626303773373324E-7</v>
      </c>
      <c r="AI38">
        <v>-5.4776879430995629E-6</v>
      </c>
      <c r="AJ38">
        <v>2.6992899271035752E-5</v>
      </c>
      <c r="AK38">
        <v>-1.8173759969755167E-5</v>
      </c>
      <c r="AL38">
        <v>1.2562955752562431E-4</v>
      </c>
      <c r="AM38">
        <v>6.4041063807962592E-4</v>
      </c>
      <c r="AN38">
        <v>-3.7914417534628118E-5</v>
      </c>
      <c r="AO38">
        <v>1.4214565829564487E-5</v>
      </c>
      <c r="AP38">
        <v>-2.7355244404446508E-6</v>
      </c>
      <c r="AQ38">
        <v>2.3539743875460316E-4</v>
      </c>
    </row>
    <row r="39" spans="1:43" x14ac:dyDescent="0.2">
      <c r="A39" t="s">
        <v>98</v>
      </c>
      <c r="B39">
        <v>-0.44577919716529241</v>
      </c>
      <c r="C39">
        <v>-3.7968974708485541E-5</v>
      </c>
      <c r="D39">
        <v>1.3091236096192686E-5</v>
      </c>
      <c r="E39">
        <v>3.5687114900013995E-7</v>
      </c>
      <c r="F39">
        <v>1.3231324660917103E-8</v>
      </c>
      <c r="G39">
        <v>1.6184588828125371E-6</v>
      </c>
      <c r="H39">
        <v>-4.7119652884156698E-7</v>
      </c>
      <c r="I39">
        <v>-2.7700145417977846E-6</v>
      </c>
      <c r="J39">
        <v>1.1737307362450649E-5</v>
      </c>
      <c r="K39">
        <v>3.5407737149586755E-6</v>
      </c>
      <c r="L39">
        <v>1.4193826944688383E-6</v>
      </c>
      <c r="M39">
        <v>4.7051044427247831E-6</v>
      </c>
      <c r="N39">
        <v>9.6065852547734856E-7</v>
      </c>
      <c r="O39">
        <v>-7.9708335000075208E-7</v>
      </c>
      <c r="P39">
        <v>-1.6298828899885022E-5</v>
      </c>
      <c r="Q39">
        <v>1.3544381751824791E-6</v>
      </c>
      <c r="R39">
        <v>3.2690810866485895E-5</v>
      </c>
      <c r="S39">
        <v>3.6106329766677015E-5</v>
      </c>
      <c r="T39">
        <v>9.738111315822813E-5</v>
      </c>
      <c r="U39">
        <v>8.6643497343635422E-5</v>
      </c>
      <c r="V39">
        <v>9.8559624526196182E-5</v>
      </c>
      <c r="W39">
        <v>-2.7005790870607451E-5</v>
      </c>
      <c r="X39">
        <v>1.1029473846121214E-5</v>
      </c>
      <c r="Y39">
        <v>2.2139466005956926E-5</v>
      </c>
      <c r="Z39">
        <v>3.0485475135634158E-4</v>
      </c>
      <c r="AA39">
        <v>2.5230010396980684E-4</v>
      </c>
      <c r="AB39">
        <v>2.3691434326708673E-4</v>
      </c>
      <c r="AC39">
        <v>2.4336525922621065E-4</v>
      </c>
      <c r="AD39">
        <v>1.9245179456493843E-4</v>
      </c>
      <c r="AE39">
        <v>2.794060610882633E-4</v>
      </c>
      <c r="AF39">
        <v>2.5865387585751094E-4</v>
      </c>
      <c r="AG39">
        <v>2.9393106906350816E-4</v>
      </c>
      <c r="AH39">
        <v>2.7632824816780971E-4</v>
      </c>
      <c r="AI39">
        <v>2.7960218164159087E-4</v>
      </c>
      <c r="AJ39">
        <v>3.1121782588407269E-4</v>
      </c>
      <c r="AK39">
        <v>2.5983203804742097E-6</v>
      </c>
      <c r="AL39">
        <v>-2.2961044234686104E-5</v>
      </c>
      <c r="AM39">
        <v>-3.7914417534628118E-5</v>
      </c>
      <c r="AN39">
        <v>1.7122801020025889E-3</v>
      </c>
      <c r="AO39">
        <v>2.2183282375769732E-4</v>
      </c>
      <c r="AP39">
        <v>1.5311117054518506E-4</v>
      </c>
      <c r="AQ39">
        <v>-6.1505077412903064E-4</v>
      </c>
    </row>
    <row r="40" spans="1:43" x14ac:dyDescent="0.2">
      <c r="A40" t="s">
        <v>99</v>
      </c>
      <c r="B40">
        <v>-0.589606234063067</v>
      </c>
      <c r="C40">
        <v>-4.4799440791601342E-5</v>
      </c>
      <c r="D40">
        <v>-2.2210525684467493E-5</v>
      </c>
      <c r="E40">
        <v>-6.7379392740686658E-6</v>
      </c>
      <c r="F40">
        <v>5.0052533192153479E-8</v>
      </c>
      <c r="G40">
        <v>-6.2334910842302125E-7</v>
      </c>
      <c r="H40">
        <v>-1.2689232626036869E-6</v>
      </c>
      <c r="I40">
        <v>1.7016176803825926E-6</v>
      </c>
      <c r="J40">
        <v>1.5085726896705231E-5</v>
      </c>
      <c r="K40">
        <v>3.5242080982566836E-6</v>
      </c>
      <c r="L40">
        <v>1.0915318214942569E-5</v>
      </c>
      <c r="M40">
        <v>5.4090099674456038E-5</v>
      </c>
      <c r="N40">
        <v>1.5218146790991647E-7</v>
      </c>
      <c r="O40">
        <v>1.2678636323932998E-7</v>
      </c>
      <c r="P40">
        <v>-5.5084977203741879E-6</v>
      </c>
      <c r="Q40">
        <v>-1.7274885200527107E-6</v>
      </c>
      <c r="R40">
        <v>5.7968822330361613E-5</v>
      </c>
      <c r="S40">
        <v>4.0138220680792814E-5</v>
      </c>
      <c r="T40">
        <v>5.7315371861051123E-5</v>
      </c>
      <c r="U40">
        <v>8.1839746367195695E-5</v>
      </c>
      <c r="V40">
        <v>1.7255751433661783E-4</v>
      </c>
      <c r="W40">
        <v>-6.7510292699957055E-6</v>
      </c>
      <c r="X40">
        <v>-7.9395091624680887E-5</v>
      </c>
      <c r="Y40">
        <v>-1.9777596388811122E-4</v>
      </c>
      <c r="Z40">
        <v>5.604012716093551E-4</v>
      </c>
      <c r="AA40">
        <v>5.2541776816599189E-4</v>
      </c>
      <c r="AB40">
        <v>5.1523367458185634E-4</v>
      </c>
      <c r="AC40">
        <v>5.1586904643526673E-4</v>
      </c>
      <c r="AD40">
        <v>4.7346838401117117E-4</v>
      </c>
      <c r="AE40">
        <v>4.9217002204159923E-4</v>
      </c>
      <c r="AF40">
        <v>5.106170962179649E-4</v>
      </c>
      <c r="AG40">
        <v>5.4483097904385104E-4</v>
      </c>
      <c r="AH40">
        <v>5.468252967426731E-4</v>
      </c>
      <c r="AI40">
        <v>5.5290131234594876E-4</v>
      </c>
      <c r="AJ40">
        <v>5.7555398708560327E-4</v>
      </c>
      <c r="AK40">
        <v>-1.7680526194335507E-7</v>
      </c>
      <c r="AL40">
        <v>3.0128576704131695E-6</v>
      </c>
      <c r="AM40">
        <v>1.4214565829564487E-5</v>
      </c>
      <c r="AN40">
        <v>2.2183282375769732E-4</v>
      </c>
      <c r="AO40">
        <v>3.9684199234323843E-3</v>
      </c>
      <c r="AP40">
        <v>2.3115735944137874E-4</v>
      </c>
      <c r="AQ40">
        <v>-4.2269855777957307E-4</v>
      </c>
    </row>
    <row r="41" spans="1:43" x14ac:dyDescent="0.2">
      <c r="A41" t="s">
        <v>100</v>
      </c>
      <c r="B41">
        <v>-0.31032161992374357</v>
      </c>
      <c r="C41">
        <v>1.4140824607309732E-5</v>
      </c>
      <c r="D41">
        <v>-1.2024614163152503E-5</v>
      </c>
      <c r="E41">
        <v>-2.1148259407561304E-6</v>
      </c>
      <c r="F41">
        <v>1.8985557644130827E-8</v>
      </c>
      <c r="G41">
        <v>-4.0754568245649933E-7</v>
      </c>
      <c r="H41">
        <v>1.3255535088321506E-7</v>
      </c>
      <c r="I41">
        <v>-1.4628911999215237E-6</v>
      </c>
      <c r="J41">
        <v>-3.1900612716037591E-6</v>
      </c>
      <c r="K41">
        <v>5.7165651898481894E-6</v>
      </c>
      <c r="L41">
        <v>6.2371580677042653E-6</v>
      </c>
      <c r="M41">
        <v>5.2764355390113116E-6</v>
      </c>
      <c r="N41">
        <v>1.6244911716333311E-6</v>
      </c>
      <c r="O41">
        <v>-2.0930090260866646E-6</v>
      </c>
      <c r="P41">
        <v>1.6949103967011727E-6</v>
      </c>
      <c r="Q41">
        <v>5.8416422667725016E-7</v>
      </c>
      <c r="R41">
        <v>4.3615124391020455E-5</v>
      </c>
      <c r="S41">
        <v>2.2068035740602297E-5</v>
      </c>
      <c r="T41">
        <v>-3.6163085148461713E-5</v>
      </c>
      <c r="U41">
        <v>-3.106650340447192E-5</v>
      </c>
      <c r="V41">
        <v>4.1911704902788428E-5</v>
      </c>
      <c r="W41">
        <v>-1.5651593242570943E-5</v>
      </c>
      <c r="X41">
        <v>-3.7212925469760677E-5</v>
      </c>
      <c r="Y41">
        <v>-4.2148039502456716E-5</v>
      </c>
      <c r="Z41">
        <v>2.9124072486602756E-4</v>
      </c>
      <c r="AA41">
        <v>2.6522480373667291E-4</v>
      </c>
      <c r="AB41">
        <v>2.4098535703640365E-4</v>
      </c>
      <c r="AC41">
        <v>2.3032089079692166E-4</v>
      </c>
      <c r="AD41">
        <v>2.2264876305594407E-4</v>
      </c>
      <c r="AE41">
        <v>2.4546511861881811E-4</v>
      </c>
      <c r="AF41">
        <v>2.3535096587104355E-4</v>
      </c>
      <c r="AG41">
        <v>2.5048500661762414E-4</v>
      </c>
      <c r="AH41">
        <v>2.668521006553412E-4</v>
      </c>
      <c r="AI41">
        <v>2.6981809380769074E-4</v>
      </c>
      <c r="AJ41">
        <v>2.7709847444460658E-4</v>
      </c>
      <c r="AK41">
        <v>1.9359502534880329E-7</v>
      </c>
      <c r="AL41">
        <v>-2.0933906213611439E-5</v>
      </c>
      <c r="AM41">
        <v>-2.7355244404446508E-6</v>
      </c>
      <c r="AN41">
        <v>1.5311117054518506E-4</v>
      </c>
      <c r="AO41">
        <v>2.3115735944137874E-4</v>
      </c>
      <c r="AP41">
        <v>3.4209270269286917E-3</v>
      </c>
      <c r="AQ41">
        <v>-2.6683182329597288E-4</v>
      </c>
    </row>
    <row r="42" spans="1:43" x14ac:dyDescent="0.2">
      <c r="A42" t="s">
        <v>47</v>
      </c>
      <c r="B42">
        <v>-2.0859754417933782</v>
      </c>
      <c r="C42">
        <v>-6.696433259138425E-4</v>
      </c>
      <c r="D42">
        <v>1.4698695378501629E-4</v>
      </c>
      <c r="E42">
        <v>-1.5701556593540017E-4</v>
      </c>
      <c r="F42">
        <v>1.3581346015629874E-6</v>
      </c>
      <c r="G42">
        <v>-3.5052312382046346E-5</v>
      </c>
      <c r="H42">
        <v>-3.0952883029432165E-5</v>
      </c>
      <c r="I42">
        <v>8.1090863422594409E-6</v>
      </c>
      <c r="J42">
        <v>-1.1915840409986651E-3</v>
      </c>
      <c r="K42">
        <v>3.5695940180772485E-5</v>
      </c>
      <c r="L42">
        <v>1.2472996068452398E-5</v>
      </c>
      <c r="M42">
        <v>-1.6917436072283237E-4</v>
      </c>
      <c r="N42">
        <v>-1.2158121455184046E-5</v>
      </c>
      <c r="O42">
        <v>1.0979622613098266E-5</v>
      </c>
      <c r="P42">
        <v>6.677751791128069E-5</v>
      </c>
      <c r="Q42">
        <v>-8.5468172630759245E-5</v>
      </c>
      <c r="R42">
        <v>-7.7419408309412812E-4</v>
      </c>
      <c r="S42">
        <v>-6.2453287308964151E-4</v>
      </c>
      <c r="T42">
        <v>-1.0417341991220814E-2</v>
      </c>
      <c r="U42">
        <v>-9.7518677686530709E-3</v>
      </c>
      <c r="V42">
        <v>-9.5114940302873791E-3</v>
      </c>
      <c r="W42">
        <v>-2.5557979863212248E-4</v>
      </c>
      <c r="X42">
        <v>-6.4048500241187917E-4</v>
      </c>
      <c r="Y42">
        <v>-7.8973286251559846E-4</v>
      </c>
      <c r="Z42">
        <v>-1.0574170273140746E-3</v>
      </c>
      <c r="AA42">
        <v>-1.1253061769328843E-3</v>
      </c>
      <c r="AB42">
        <v>-1.1255392383441667E-3</v>
      </c>
      <c r="AC42">
        <v>-1.1168146127274411E-3</v>
      </c>
      <c r="AD42">
        <v>-1.0691269010275029E-3</v>
      </c>
      <c r="AE42">
        <v>-1.021122867379608E-3</v>
      </c>
      <c r="AF42">
        <v>-1.0071927157131034E-3</v>
      </c>
      <c r="AG42">
        <v>-1.1403520830044224E-3</v>
      </c>
      <c r="AH42">
        <v>-1.1613047151109602E-3</v>
      </c>
      <c r="AI42">
        <v>-9.7434081598677974E-4</v>
      </c>
      <c r="AJ42">
        <v>-1.0500151160234381E-3</v>
      </c>
      <c r="AK42">
        <v>-6.3761710382573229E-5</v>
      </c>
      <c r="AL42">
        <v>1.4735171308430099E-4</v>
      </c>
      <c r="AM42">
        <v>2.3539743875460316E-4</v>
      </c>
      <c r="AN42">
        <v>-6.1505077412903064E-4</v>
      </c>
      <c r="AO42">
        <v>-4.2269855777957307E-4</v>
      </c>
      <c r="AP42">
        <v>-2.6683182329597288E-4</v>
      </c>
      <c r="AQ42">
        <v>1.9581505615689027E-2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O40"/>
  <sheetViews>
    <sheetView workbookViewId="0">
      <selection activeCell="A36" sqref="A36"/>
    </sheetView>
  </sheetViews>
  <sheetFormatPr baseColWidth="10" defaultColWidth="8.83203125" defaultRowHeight="15" x14ac:dyDescent="0.2"/>
  <sheetData>
    <row r="1" spans="1:41" x14ac:dyDescent="0.2">
      <c r="A1" t="s">
        <v>19</v>
      </c>
      <c r="B1" t="s">
        <v>20</v>
      </c>
      <c r="C1" t="s">
        <v>66</v>
      </c>
      <c r="D1" t="s">
        <v>67</v>
      </c>
      <c r="E1" t="s">
        <v>68</v>
      </c>
      <c r="F1" t="s">
        <v>106</v>
      </c>
      <c r="G1" t="s">
        <v>102</v>
      </c>
      <c r="H1" t="s">
        <v>101</v>
      </c>
      <c r="I1" t="s">
        <v>80</v>
      </c>
      <c r="J1" t="s">
        <v>81</v>
      </c>
      <c r="K1" t="s">
        <v>82</v>
      </c>
      <c r="L1" t="s">
        <v>83</v>
      </c>
      <c r="M1" t="s">
        <v>84</v>
      </c>
      <c r="N1" t="s">
        <v>107</v>
      </c>
      <c r="O1" t="s">
        <v>69</v>
      </c>
      <c r="P1" t="s">
        <v>70</v>
      </c>
      <c r="Q1" t="s">
        <v>71</v>
      </c>
      <c r="R1" t="s">
        <v>73</v>
      </c>
      <c r="S1" t="s">
        <v>72</v>
      </c>
      <c r="T1" t="s">
        <v>74</v>
      </c>
      <c r="U1" t="s">
        <v>75</v>
      </c>
      <c r="V1" t="s">
        <v>78</v>
      </c>
      <c r="W1" t="s">
        <v>79</v>
      </c>
      <c r="X1" t="s">
        <v>85</v>
      </c>
      <c r="Y1" t="s">
        <v>86</v>
      </c>
      <c r="Z1" t="s">
        <v>87</v>
      </c>
      <c r="AA1" t="s">
        <v>88</v>
      </c>
      <c r="AB1" t="s">
        <v>89</v>
      </c>
      <c r="AC1" t="s">
        <v>90</v>
      </c>
      <c r="AD1" t="s">
        <v>91</v>
      </c>
      <c r="AE1" t="s">
        <v>92</v>
      </c>
      <c r="AF1" t="s">
        <v>93</v>
      </c>
      <c r="AG1" t="s">
        <v>94</v>
      </c>
      <c r="AH1" t="s">
        <v>95</v>
      </c>
      <c r="AI1" t="s">
        <v>110</v>
      </c>
      <c r="AJ1" t="s">
        <v>96</v>
      </c>
      <c r="AK1" t="s">
        <v>97</v>
      </c>
      <c r="AL1" t="s">
        <v>98</v>
      </c>
      <c r="AM1" t="s">
        <v>99</v>
      </c>
      <c r="AN1" t="s">
        <v>100</v>
      </c>
      <c r="AO1" t="s">
        <v>47</v>
      </c>
    </row>
    <row r="2" spans="1:41" x14ac:dyDescent="0.2">
      <c r="A2" t="s">
        <v>66</v>
      </c>
      <c r="B2">
        <v>0.16808437763633258</v>
      </c>
      <c r="C2">
        <v>2.9454078445086032E-4</v>
      </c>
      <c r="D2">
        <v>4.4004565168524962E-6</v>
      </c>
      <c r="E2">
        <v>-4.5635843010546684E-8</v>
      </c>
      <c r="F2">
        <v>-1.1911476360944133E-4</v>
      </c>
      <c r="G2">
        <v>-1.2251860052235006E-4</v>
      </c>
      <c r="H2">
        <v>-1.2338592602067773E-4</v>
      </c>
      <c r="I2">
        <v>-2.1482989356786712E-4</v>
      </c>
      <c r="J2">
        <v>-2.0281174278334444E-4</v>
      </c>
      <c r="K2">
        <v>-1.969811205525938E-4</v>
      </c>
      <c r="L2">
        <v>8.1894549515746761E-6</v>
      </c>
      <c r="M2">
        <v>4.2109050237203645E-5</v>
      </c>
      <c r="N2">
        <v>1.270117185977661E-4</v>
      </c>
      <c r="O2">
        <v>-1.7497295950651392E-7</v>
      </c>
      <c r="P2">
        <v>-1.4994566257428713E-6</v>
      </c>
      <c r="Q2">
        <v>-5.3531954898498238E-6</v>
      </c>
      <c r="R2">
        <v>-1.5155861303183292E-6</v>
      </c>
      <c r="S2">
        <v>-2.7620411428974762E-5</v>
      </c>
      <c r="T2">
        <v>-2.1198305847800737E-6</v>
      </c>
      <c r="U2">
        <v>-2.8822877679502313E-4</v>
      </c>
      <c r="V2">
        <v>-3.9636565451861906E-7</v>
      </c>
      <c r="W2">
        <v>1.4174068357906867E-6</v>
      </c>
      <c r="X2">
        <v>2.0168199028297465E-5</v>
      </c>
      <c r="Y2">
        <v>1.8106941531882291E-5</v>
      </c>
      <c r="Z2">
        <v>1.716159711076057E-5</v>
      </c>
      <c r="AA2">
        <v>5.2534762994789009E-6</v>
      </c>
      <c r="AB2">
        <v>1.3332782705770301E-5</v>
      </c>
      <c r="AC2">
        <v>1.1874643500096228E-5</v>
      </c>
      <c r="AD2">
        <v>1.6142468899966729E-5</v>
      </c>
      <c r="AE2">
        <v>2.2728646105072618E-5</v>
      </c>
      <c r="AF2">
        <v>1.2915045659232533E-5</v>
      </c>
      <c r="AG2">
        <v>7.5711528575842554E-6</v>
      </c>
      <c r="AH2">
        <v>8.6239034804502053E-6</v>
      </c>
      <c r="AI2">
        <v>1.0854130183010383E-7</v>
      </c>
      <c r="AJ2">
        <v>4.1534306063924339E-6</v>
      </c>
      <c r="AK2">
        <v>4.9309225921811408E-6</v>
      </c>
      <c r="AL2">
        <v>2.4327964306611056E-6</v>
      </c>
      <c r="AM2">
        <v>2.4775076841498163E-5</v>
      </c>
      <c r="AN2">
        <v>-6.7757699539366873E-6</v>
      </c>
      <c r="AO2">
        <v>1.8831703731628707E-4</v>
      </c>
    </row>
    <row r="3" spans="1:41" x14ac:dyDescent="0.2">
      <c r="A3" t="s">
        <v>67</v>
      </c>
      <c r="B3">
        <v>3.5590132628407288E-2</v>
      </c>
      <c r="C3">
        <v>4.4004565168524962E-6</v>
      </c>
      <c r="D3">
        <v>9.8370239744397811E-6</v>
      </c>
      <c r="E3">
        <v>-8.445818897406377E-8</v>
      </c>
      <c r="F3">
        <v>-2.3398000433570418E-5</v>
      </c>
      <c r="G3">
        <v>-2.5823464922352936E-5</v>
      </c>
      <c r="H3">
        <v>-2.3646765992584517E-5</v>
      </c>
      <c r="I3">
        <v>7.4785114857392975E-5</v>
      </c>
      <c r="J3">
        <v>2.8969119073953199E-6</v>
      </c>
      <c r="K3">
        <v>-5.1293566004496742E-6</v>
      </c>
      <c r="L3">
        <v>6.5820288389624383E-6</v>
      </c>
      <c r="M3">
        <v>1.5519692528133884E-5</v>
      </c>
      <c r="N3">
        <v>1.6638716657942855E-5</v>
      </c>
      <c r="O3">
        <v>-8.608677104891815E-8</v>
      </c>
      <c r="P3">
        <v>-6.9108946551504796E-8</v>
      </c>
      <c r="Q3">
        <v>-1.536347316766991E-6</v>
      </c>
      <c r="R3">
        <v>-1.0323995032686366E-6</v>
      </c>
      <c r="S3">
        <v>5.5876228782241875E-7</v>
      </c>
      <c r="T3">
        <v>-1.9061413944515311E-6</v>
      </c>
      <c r="U3">
        <v>-4.434195620319248E-6</v>
      </c>
      <c r="V3">
        <v>-3.5751014008650306E-6</v>
      </c>
      <c r="W3">
        <v>3.9842410611056416E-6</v>
      </c>
      <c r="X3">
        <v>-6.6282882306403556E-6</v>
      </c>
      <c r="Y3">
        <v>-5.8749730147361981E-6</v>
      </c>
      <c r="Z3">
        <v>-5.2317340549939723E-6</v>
      </c>
      <c r="AA3">
        <v>-5.2459019297661919E-6</v>
      </c>
      <c r="AB3">
        <v>-7.4893907536117683E-6</v>
      </c>
      <c r="AC3">
        <v>-5.1092866710576821E-6</v>
      </c>
      <c r="AD3">
        <v>-3.1659571448336069E-6</v>
      </c>
      <c r="AE3">
        <v>-4.9647682654307669E-6</v>
      </c>
      <c r="AF3">
        <v>-6.0373100581616508E-6</v>
      </c>
      <c r="AG3">
        <v>-6.8125984838252713E-6</v>
      </c>
      <c r="AH3">
        <v>-9.7534714811479462E-6</v>
      </c>
      <c r="AI3">
        <v>4.8448156673070697E-7</v>
      </c>
      <c r="AJ3">
        <v>-9.5270188661278224E-8</v>
      </c>
      <c r="AK3">
        <v>-1.7455649897628106E-6</v>
      </c>
      <c r="AL3">
        <v>-2.0428123118446117E-6</v>
      </c>
      <c r="AM3">
        <v>-1.36319102340477E-5</v>
      </c>
      <c r="AN3">
        <v>-4.127325794017562E-7</v>
      </c>
      <c r="AO3">
        <v>-2.2338121810827437E-4</v>
      </c>
    </row>
    <row r="4" spans="1:41" x14ac:dyDescent="0.2">
      <c r="A4" t="s">
        <v>68</v>
      </c>
      <c r="B4">
        <v>-2.9079990169129211E-4</v>
      </c>
      <c r="C4">
        <v>-4.5635843010546684E-8</v>
      </c>
      <c r="D4">
        <v>-8.445818897406377E-8</v>
      </c>
      <c r="E4">
        <v>7.7921836064132053E-10</v>
      </c>
      <c r="F4">
        <v>1.6534704618675725E-7</v>
      </c>
      <c r="G4">
        <v>2.1795683485972338E-7</v>
      </c>
      <c r="H4">
        <v>2.1057084152544243E-7</v>
      </c>
      <c r="I4">
        <v>-5.117938243377806E-7</v>
      </c>
      <c r="J4">
        <v>2.6894650662116845E-8</v>
      </c>
      <c r="K4">
        <v>-3.4330381171556805E-8</v>
      </c>
      <c r="L4">
        <v>-2.7472462339829649E-8</v>
      </c>
      <c r="M4">
        <v>-1.3909825338824214E-7</v>
      </c>
      <c r="N4">
        <v>-9.6028655780452437E-8</v>
      </c>
      <c r="O4">
        <v>2.1148430006850419E-9</v>
      </c>
      <c r="P4">
        <v>1.8296118912067732E-10</v>
      </c>
      <c r="Q4">
        <v>1.207145552570209E-8</v>
      </c>
      <c r="R4">
        <v>6.9027045606775683E-9</v>
      </c>
      <c r="S4">
        <v>-3.1988844479584337E-10</v>
      </c>
      <c r="T4">
        <v>1.717943644014795E-8</v>
      </c>
      <c r="U4">
        <v>4.276152998438349E-8</v>
      </c>
      <c r="V4">
        <v>3.1729360639825383E-8</v>
      </c>
      <c r="W4">
        <v>-2.5907375506390024E-8</v>
      </c>
      <c r="X4">
        <v>6.4423761010080408E-8</v>
      </c>
      <c r="Y4">
        <v>5.9953066277347236E-8</v>
      </c>
      <c r="Z4">
        <v>4.9275920946854084E-8</v>
      </c>
      <c r="AA4">
        <v>5.350451242890239E-8</v>
      </c>
      <c r="AB4">
        <v>6.5179825522486985E-8</v>
      </c>
      <c r="AC4">
        <v>4.6359130243070365E-8</v>
      </c>
      <c r="AD4">
        <v>2.7457886918643988E-8</v>
      </c>
      <c r="AE4">
        <v>4.2914148243829356E-8</v>
      </c>
      <c r="AF4">
        <v>5.6489972461719621E-8</v>
      </c>
      <c r="AG4">
        <v>6.1104704218212471E-8</v>
      </c>
      <c r="AH4">
        <v>8.7532918381686374E-8</v>
      </c>
      <c r="AI4">
        <v>-5.5007975728825768E-9</v>
      </c>
      <c r="AJ4">
        <v>-1.2744289208597892E-9</v>
      </c>
      <c r="AK4">
        <v>9.4669184645911477E-9</v>
      </c>
      <c r="AL4">
        <v>4.115068999565661E-8</v>
      </c>
      <c r="AM4">
        <v>1.0730884387499976E-7</v>
      </c>
      <c r="AN4">
        <v>1.7996219636709046E-8</v>
      </c>
      <c r="AO4">
        <v>1.7124248282799338E-6</v>
      </c>
    </row>
    <row r="5" spans="1:41" x14ac:dyDescent="0.2">
      <c r="A5" t="s">
        <v>106</v>
      </c>
      <c r="B5">
        <v>-0.70895008598277809</v>
      </c>
      <c r="C5">
        <v>-1.1911476360944133E-4</v>
      </c>
      <c r="D5">
        <v>-2.3398000433570418E-5</v>
      </c>
      <c r="E5">
        <v>1.6534704618675725E-7</v>
      </c>
      <c r="F5">
        <v>1.1593365431836712E-2</v>
      </c>
      <c r="G5">
        <v>1.1187002420262359E-2</v>
      </c>
      <c r="H5">
        <v>1.1179965767007988E-2</v>
      </c>
      <c r="I5">
        <v>3.7596649406158112E-3</v>
      </c>
      <c r="J5">
        <v>-1.7538668993858503E-4</v>
      </c>
      <c r="K5">
        <v>-2.2243443173954047E-5</v>
      </c>
      <c r="L5">
        <v>1.337530045990346E-4</v>
      </c>
      <c r="M5">
        <v>-1.1898654312058325E-4</v>
      </c>
      <c r="N5">
        <v>3.7344987741307501E-5</v>
      </c>
      <c r="O5">
        <v>1.2969601210636699E-6</v>
      </c>
      <c r="P5">
        <v>8.1910628549882803E-8</v>
      </c>
      <c r="Q5">
        <v>-8.9935519123309415E-6</v>
      </c>
      <c r="R5">
        <v>3.2648476093662137E-6</v>
      </c>
      <c r="S5">
        <v>6.8287526524473752E-6</v>
      </c>
      <c r="T5">
        <v>-1.488149793596577E-5</v>
      </c>
      <c r="U5">
        <v>6.1385980952328358E-3</v>
      </c>
      <c r="V5">
        <v>4.3530535981640842E-4</v>
      </c>
      <c r="W5">
        <v>2.4967898526745907E-5</v>
      </c>
      <c r="X5">
        <v>-1.653233228076029E-5</v>
      </c>
      <c r="Y5">
        <v>-1.023741298780325E-4</v>
      </c>
      <c r="Z5">
        <v>-9.3292310732144036E-5</v>
      </c>
      <c r="AA5">
        <v>-7.4893096130581281E-5</v>
      </c>
      <c r="AB5">
        <v>-9.3098104250638296E-5</v>
      </c>
      <c r="AC5">
        <v>-7.7707326132360911E-5</v>
      </c>
      <c r="AD5">
        <v>-6.5781506896286229E-5</v>
      </c>
      <c r="AE5">
        <v>-6.1918233520879065E-5</v>
      </c>
      <c r="AF5">
        <v>-1.0445969460900952E-4</v>
      </c>
      <c r="AG5">
        <v>-5.6450286301716265E-5</v>
      </c>
      <c r="AH5">
        <v>-6.4224457504698934E-5</v>
      </c>
      <c r="AI5">
        <v>-1.4854888260884026E-6</v>
      </c>
      <c r="AJ5">
        <v>6.7055717894538847E-5</v>
      </c>
      <c r="AK5">
        <v>9.6333179018174078E-5</v>
      </c>
      <c r="AL5">
        <v>4.0118647086596557E-6</v>
      </c>
      <c r="AM5">
        <v>1.6953964599592409E-4</v>
      </c>
      <c r="AN5">
        <v>-3.5063769553464328E-4</v>
      </c>
      <c r="AO5">
        <v>-1.033314883962384E-2</v>
      </c>
    </row>
    <row r="6" spans="1:41" x14ac:dyDescent="0.2">
      <c r="A6" t="s">
        <v>102</v>
      </c>
      <c r="B6">
        <v>-0.60464798146696752</v>
      </c>
      <c r="C6">
        <v>-1.2251860052235006E-4</v>
      </c>
      <c r="D6">
        <v>-2.5823464922352936E-5</v>
      </c>
      <c r="E6">
        <v>2.1795683485972338E-7</v>
      </c>
      <c r="F6">
        <v>1.1187002420262359E-2</v>
      </c>
      <c r="G6">
        <v>1.1268292886544877E-2</v>
      </c>
      <c r="H6">
        <v>1.1146727215378027E-2</v>
      </c>
      <c r="I6">
        <v>3.7837869219455224E-3</v>
      </c>
      <c r="J6">
        <v>-1.1461915660548319E-4</v>
      </c>
      <c r="K6">
        <v>1.6447812268961456E-5</v>
      </c>
      <c r="L6">
        <v>1.2966449585844158E-4</v>
      </c>
      <c r="M6">
        <v>-1.2041152872455449E-4</v>
      </c>
      <c r="N6">
        <v>5.0941384144153647E-5</v>
      </c>
      <c r="O6">
        <v>5.0959463311418986E-7</v>
      </c>
      <c r="P6">
        <v>-4.0553372933909993E-7</v>
      </c>
      <c r="Q6">
        <v>-1.381437123237168E-5</v>
      </c>
      <c r="R6">
        <v>-1.8119194207185415E-6</v>
      </c>
      <c r="S6">
        <v>1.1571335261355395E-5</v>
      </c>
      <c r="T6">
        <v>-1.6205770632295727E-5</v>
      </c>
      <c r="U6">
        <v>6.1462854747734484E-3</v>
      </c>
      <c r="V6">
        <v>4.4083844204289592E-4</v>
      </c>
      <c r="W6">
        <v>2.9067748655400339E-5</v>
      </c>
      <c r="X6">
        <v>-4.8207241152970186E-5</v>
      </c>
      <c r="Y6">
        <v>-1.2281329624237204E-4</v>
      </c>
      <c r="Z6">
        <v>-1.0352651447399688E-4</v>
      </c>
      <c r="AA6">
        <v>-7.6489898703208971E-5</v>
      </c>
      <c r="AB6">
        <v>-1.0339935843799511E-4</v>
      </c>
      <c r="AC6">
        <v>-9.1359499856789265E-5</v>
      </c>
      <c r="AD6">
        <v>-9.3680713415216724E-5</v>
      </c>
      <c r="AE6">
        <v>-8.6507548285387134E-5</v>
      </c>
      <c r="AF6">
        <v>-1.1363696075893191E-4</v>
      </c>
      <c r="AG6">
        <v>-9.0186502934818703E-5</v>
      </c>
      <c r="AH6">
        <v>-6.7365203137140575E-5</v>
      </c>
      <c r="AI6">
        <v>-5.2989705755771997E-6</v>
      </c>
      <c r="AJ6">
        <v>7.433560209096717E-5</v>
      </c>
      <c r="AK6">
        <v>1.0104413822352833E-4</v>
      </c>
      <c r="AL6">
        <v>-3.8695228551152011E-7</v>
      </c>
      <c r="AM6">
        <v>1.8666665593358635E-4</v>
      </c>
      <c r="AN6">
        <v>-3.5214723969328543E-4</v>
      </c>
      <c r="AO6">
        <v>-1.0189412229980774E-2</v>
      </c>
    </row>
    <row r="7" spans="1:41" x14ac:dyDescent="0.2">
      <c r="A7" t="s">
        <v>101</v>
      </c>
      <c r="B7">
        <v>-0.62013451568757971</v>
      </c>
      <c r="C7">
        <v>-1.2338592602067773E-4</v>
      </c>
      <c r="D7">
        <v>-2.3646765992584517E-5</v>
      </c>
      <c r="E7">
        <v>2.1057084152544243E-7</v>
      </c>
      <c r="F7">
        <v>1.1179965767007988E-2</v>
      </c>
      <c r="G7">
        <v>1.1146727215378027E-2</v>
      </c>
      <c r="H7">
        <v>1.1410904036502138E-2</v>
      </c>
      <c r="I7">
        <v>3.5077681777808149E-3</v>
      </c>
      <c r="J7">
        <v>-4.2351404430087357E-4</v>
      </c>
      <c r="K7">
        <v>-3.4428647244037509E-4</v>
      </c>
      <c r="L7">
        <v>1.1717344652925447E-4</v>
      </c>
      <c r="M7">
        <v>-1.1587340075907827E-4</v>
      </c>
      <c r="N7">
        <v>1.066259836630867E-4</v>
      </c>
      <c r="O7">
        <v>-6.1178942299483995E-7</v>
      </c>
      <c r="P7">
        <v>1.2868872745317068E-8</v>
      </c>
      <c r="Q7">
        <v>-1.7830999807229341E-5</v>
      </c>
      <c r="R7">
        <v>-3.1891966897962991E-6</v>
      </c>
      <c r="S7">
        <v>-2.9998962815058197E-5</v>
      </c>
      <c r="T7">
        <v>-1.921215607137935E-5</v>
      </c>
      <c r="U7">
        <v>6.1384269080469699E-3</v>
      </c>
      <c r="V7">
        <v>4.5207160257940441E-4</v>
      </c>
      <c r="W7">
        <v>2.1136216032813406E-5</v>
      </c>
      <c r="X7">
        <v>1.9476797974960023E-5</v>
      </c>
      <c r="Y7">
        <v>-6.4072474371701729E-5</v>
      </c>
      <c r="Z7">
        <v>-5.1588508130607884E-5</v>
      </c>
      <c r="AA7">
        <v>-2.694441276649296E-5</v>
      </c>
      <c r="AB7">
        <v>-6.8576755440107919E-5</v>
      </c>
      <c r="AC7">
        <v>-3.4479355623517199E-5</v>
      </c>
      <c r="AD7">
        <v>-4.1195155869032038E-5</v>
      </c>
      <c r="AE7">
        <v>-3.7417058151895284E-5</v>
      </c>
      <c r="AF7">
        <v>-5.1274400063132386E-5</v>
      </c>
      <c r="AG7">
        <v>-5.621868371175065E-5</v>
      </c>
      <c r="AH7">
        <v>-3.7064297590629069E-5</v>
      </c>
      <c r="AI7">
        <v>-6.0502644713118867E-6</v>
      </c>
      <c r="AJ7">
        <v>6.1557070383110426E-5</v>
      </c>
      <c r="AK7">
        <v>9.8870087648668305E-5</v>
      </c>
      <c r="AL7">
        <v>-5.0686912412312678E-5</v>
      </c>
      <c r="AM7">
        <v>1.2098200736437859E-4</v>
      </c>
      <c r="AN7">
        <v>-3.7352656736071386E-4</v>
      </c>
      <c r="AO7">
        <v>-9.9325765167438042E-3</v>
      </c>
    </row>
    <row r="8" spans="1:41" x14ac:dyDescent="0.2">
      <c r="A8" t="s">
        <v>80</v>
      </c>
      <c r="B8">
        <v>0.27701096840113515</v>
      </c>
      <c r="C8">
        <v>-2.1482989356786712E-4</v>
      </c>
      <c r="D8">
        <v>7.4785114857392975E-5</v>
      </c>
      <c r="E8">
        <v>-5.117938243377806E-7</v>
      </c>
      <c r="F8">
        <v>3.7596649406158112E-3</v>
      </c>
      <c r="G8">
        <v>3.7837869219455224E-3</v>
      </c>
      <c r="H8">
        <v>3.5077681777808149E-3</v>
      </c>
      <c r="I8">
        <v>1.7202400999384845E-2</v>
      </c>
      <c r="J8">
        <v>1.1804282958337695E-2</v>
      </c>
      <c r="K8">
        <v>1.1527839955370971E-2</v>
      </c>
      <c r="L8">
        <v>-6.9201652524040894E-5</v>
      </c>
      <c r="M8">
        <v>5.8332553898956022E-5</v>
      </c>
      <c r="N8">
        <v>6.4623218574666463E-4</v>
      </c>
      <c r="O8">
        <v>-4.2249551079401846E-6</v>
      </c>
      <c r="P8">
        <v>-1.4311163429972008E-7</v>
      </c>
      <c r="Q8">
        <v>-1.3100364882227128E-5</v>
      </c>
      <c r="R8">
        <v>1.0809049711893318E-5</v>
      </c>
      <c r="S8">
        <v>1.459385340810024E-3</v>
      </c>
      <c r="T8">
        <v>-1.8719119659052898E-5</v>
      </c>
      <c r="U8">
        <v>1.534002476995971E-4</v>
      </c>
      <c r="V8">
        <v>-1.7498390685575426E-4</v>
      </c>
      <c r="W8">
        <v>-2.5771157039768567E-5</v>
      </c>
      <c r="X8">
        <v>1.7579729442652667E-4</v>
      </c>
      <c r="Y8">
        <v>1.1410155910938132E-4</v>
      </c>
      <c r="Z8">
        <v>1.6782393569585337E-4</v>
      </c>
      <c r="AA8">
        <v>1.5888448599942449E-4</v>
      </c>
      <c r="AB8">
        <v>1.0103415837033145E-4</v>
      </c>
      <c r="AC8">
        <v>9.3352120517519246E-5</v>
      </c>
      <c r="AD8">
        <v>1.0738083317780693E-4</v>
      </c>
      <c r="AE8">
        <v>2.268007164714838E-4</v>
      </c>
      <c r="AF8">
        <v>1.9196768909471133E-4</v>
      </c>
      <c r="AG8">
        <v>6.3460905059306572E-5</v>
      </c>
      <c r="AH8">
        <v>1.8134928811840839E-4</v>
      </c>
      <c r="AI8">
        <v>-5.0321260026324564E-6</v>
      </c>
      <c r="AJ8">
        <v>3.3201256882959629E-5</v>
      </c>
      <c r="AK8">
        <v>2.0761590524447267E-5</v>
      </c>
      <c r="AL8">
        <v>-2.3263993680180603E-5</v>
      </c>
      <c r="AM8">
        <v>-1.9083655146174931E-4</v>
      </c>
      <c r="AN8">
        <v>-1.3093939761292972E-4</v>
      </c>
      <c r="AO8">
        <v>-1.7683390600083119E-2</v>
      </c>
    </row>
    <row r="9" spans="1:41" x14ac:dyDescent="0.2">
      <c r="A9" t="s">
        <v>81</v>
      </c>
      <c r="B9">
        <v>-0.13083018080191081</v>
      </c>
      <c r="C9">
        <v>-2.0281174278334444E-4</v>
      </c>
      <c r="D9">
        <v>2.8969119073953199E-6</v>
      </c>
      <c r="E9">
        <v>2.6894650662116845E-8</v>
      </c>
      <c r="F9">
        <v>-1.7538668993858503E-4</v>
      </c>
      <c r="G9">
        <v>-1.1461915660548319E-4</v>
      </c>
      <c r="H9">
        <v>-4.2351404430087357E-4</v>
      </c>
      <c r="I9">
        <v>1.1804282958337695E-2</v>
      </c>
      <c r="J9">
        <v>1.3104531194581787E-2</v>
      </c>
      <c r="K9">
        <v>1.159694523245193E-2</v>
      </c>
      <c r="L9">
        <v>-1.6739242372049924E-4</v>
      </c>
      <c r="M9">
        <v>3.457120980685603E-5</v>
      </c>
      <c r="N9">
        <v>3.4299858852003279E-4</v>
      </c>
      <c r="O9">
        <v>-2.0865350287777243E-6</v>
      </c>
      <c r="P9">
        <v>4.1172375041740575E-6</v>
      </c>
      <c r="Q9">
        <v>-3.3090816531561925E-6</v>
      </c>
      <c r="R9">
        <v>9.7786109057983878E-6</v>
      </c>
      <c r="S9">
        <v>1.4556672730341646E-3</v>
      </c>
      <c r="T9">
        <v>-2.8821941846410867E-5</v>
      </c>
      <c r="U9">
        <v>1.3147810233899294E-4</v>
      </c>
      <c r="V9">
        <v>-3.200005723544893E-5</v>
      </c>
      <c r="W9">
        <v>5.6714386158160921E-6</v>
      </c>
      <c r="X9">
        <v>1.9331758381344174E-4</v>
      </c>
      <c r="Y9">
        <v>2.1587415240024305E-4</v>
      </c>
      <c r="Z9">
        <v>2.5575935254726866E-4</v>
      </c>
      <c r="AA9">
        <v>2.1726446013885931E-4</v>
      </c>
      <c r="AB9">
        <v>2.2197580072691979E-4</v>
      </c>
      <c r="AC9">
        <v>1.7798649508141921E-4</v>
      </c>
      <c r="AD9">
        <v>1.8726726421346672E-4</v>
      </c>
      <c r="AE9">
        <v>3.1430190166187658E-4</v>
      </c>
      <c r="AF9">
        <v>3.3736866050072464E-4</v>
      </c>
      <c r="AG9">
        <v>1.7265417599721892E-4</v>
      </c>
      <c r="AH9">
        <v>2.2489409572255814E-4</v>
      </c>
      <c r="AI9">
        <v>-4.8215257150902892E-7</v>
      </c>
      <c r="AJ9">
        <v>1.0343884957721258E-5</v>
      </c>
      <c r="AK9">
        <v>-3.1022375052359302E-5</v>
      </c>
      <c r="AL9">
        <v>-4.0498897956217118E-5</v>
      </c>
      <c r="AM9">
        <v>4.6673867946283969E-5</v>
      </c>
      <c r="AN9">
        <v>9.3843159362718499E-5</v>
      </c>
      <c r="AO9">
        <v>-1.200318500805065E-2</v>
      </c>
    </row>
    <row r="10" spans="1:41" x14ac:dyDescent="0.2">
      <c r="A10" t="s">
        <v>82</v>
      </c>
      <c r="B10">
        <v>-0.22059529087472032</v>
      </c>
      <c r="C10">
        <v>-1.969811205525938E-4</v>
      </c>
      <c r="D10">
        <v>-5.1293566004496742E-6</v>
      </c>
      <c r="E10">
        <v>-3.4330381171556805E-8</v>
      </c>
      <c r="F10">
        <v>-2.2243443173954047E-5</v>
      </c>
      <c r="G10">
        <v>1.6447812268961456E-5</v>
      </c>
      <c r="H10">
        <v>-3.4428647244037509E-4</v>
      </c>
      <c r="I10">
        <v>1.1527839955370971E-2</v>
      </c>
      <c r="J10">
        <v>1.159694523245193E-2</v>
      </c>
      <c r="K10">
        <v>1.220447816932131E-2</v>
      </c>
      <c r="L10">
        <v>-5.9192000560090072E-5</v>
      </c>
      <c r="M10">
        <v>6.3454762359246592E-5</v>
      </c>
      <c r="N10">
        <v>6.1475653808524752E-4</v>
      </c>
      <c r="O10">
        <v>-2.8153646350711939E-6</v>
      </c>
      <c r="P10">
        <v>3.560420807306047E-7</v>
      </c>
      <c r="Q10">
        <v>-3.0180719128870262E-6</v>
      </c>
      <c r="R10">
        <v>4.1974053044070616E-6</v>
      </c>
      <c r="S10">
        <v>1.4249645701050096E-3</v>
      </c>
      <c r="T10">
        <v>1.368049911181998E-5</v>
      </c>
      <c r="U10">
        <v>1.5827122860301442E-4</v>
      </c>
      <c r="V10">
        <v>-3.3566393131130443E-5</v>
      </c>
      <c r="W10">
        <v>3.6942815007463928E-5</v>
      </c>
      <c r="X10">
        <v>1.8801950390440842E-4</v>
      </c>
      <c r="Y10">
        <v>1.8757663487806945E-4</v>
      </c>
      <c r="Z10">
        <v>2.635845567738257E-4</v>
      </c>
      <c r="AA10">
        <v>2.2074242532467425E-4</v>
      </c>
      <c r="AB10">
        <v>2.337387233094573E-4</v>
      </c>
      <c r="AC10">
        <v>2.0176648379970855E-4</v>
      </c>
      <c r="AD10">
        <v>2.0478696991341281E-4</v>
      </c>
      <c r="AE10">
        <v>3.2140993383460419E-4</v>
      </c>
      <c r="AF10">
        <v>2.6629739082903274E-4</v>
      </c>
      <c r="AG10">
        <v>1.7954093011214155E-4</v>
      </c>
      <c r="AH10">
        <v>2.8241408743335736E-4</v>
      </c>
      <c r="AI10">
        <v>-6.0177306636490305E-6</v>
      </c>
      <c r="AJ10">
        <v>3.5348334600119897E-5</v>
      </c>
      <c r="AK10">
        <v>6.1836451937715559E-6</v>
      </c>
      <c r="AL10">
        <v>1.8802232961111394E-5</v>
      </c>
      <c r="AM10">
        <v>1.2438655456720356E-4</v>
      </c>
      <c r="AN10">
        <v>1.3694421669641825E-4</v>
      </c>
      <c r="AO10">
        <v>-1.138998631884528E-2</v>
      </c>
    </row>
    <row r="11" spans="1:41" x14ac:dyDescent="0.2">
      <c r="A11" t="s">
        <v>83</v>
      </c>
      <c r="B11">
        <v>-6.5898542576041358E-2</v>
      </c>
      <c r="C11">
        <v>8.1894549515746761E-6</v>
      </c>
      <c r="D11">
        <v>6.5820288389624383E-6</v>
      </c>
      <c r="E11">
        <v>-2.7472462339829649E-8</v>
      </c>
      <c r="F11">
        <v>1.337530045990346E-4</v>
      </c>
      <c r="G11">
        <v>1.2966449585844158E-4</v>
      </c>
      <c r="H11">
        <v>1.1717344652925447E-4</v>
      </c>
      <c r="I11">
        <v>-6.9201652524040894E-5</v>
      </c>
      <c r="J11">
        <v>-1.6739242372049924E-4</v>
      </c>
      <c r="K11">
        <v>-5.9192000560090072E-5</v>
      </c>
      <c r="L11">
        <v>7.1628490877692923E-4</v>
      </c>
      <c r="M11">
        <v>1.2892533516762985E-4</v>
      </c>
      <c r="N11">
        <v>2.5497891490964115E-4</v>
      </c>
      <c r="O11">
        <v>5.5296996070295891E-7</v>
      </c>
      <c r="P11">
        <v>3.041260504413512E-7</v>
      </c>
      <c r="Q11">
        <v>4.0580589847113218E-6</v>
      </c>
      <c r="R11">
        <v>-1.7939003234247687E-6</v>
      </c>
      <c r="S11">
        <v>-1.8357519220533122E-5</v>
      </c>
      <c r="T11">
        <v>-4.2619625455189237E-7</v>
      </c>
      <c r="U11">
        <v>-5.935998217894634E-5</v>
      </c>
      <c r="V11">
        <v>3.0486475301914989E-5</v>
      </c>
      <c r="W11">
        <v>1.6718733261633282E-5</v>
      </c>
      <c r="X11">
        <v>-2.3135705415444348E-5</v>
      </c>
      <c r="Y11">
        <v>-1.9404105237462996E-5</v>
      </c>
      <c r="Z11">
        <v>-8.1011175681967645E-6</v>
      </c>
      <c r="AA11">
        <v>3.0914567665186934E-6</v>
      </c>
      <c r="AB11">
        <v>4.6540803508495496E-6</v>
      </c>
      <c r="AC11">
        <v>-3.4379119259668619E-5</v>
      </c>
      <c r="AD11">
        <v>1.0339472736419492E-5</v>
      </c>
      <c r="AE11">
        <v>-5.0954988123933995E-6</v>
      </c>
      <c r="AF11">
        <v>-5.7782997464766203E-6</v>
      </c>
      <c r="AG11">
        <v>-1.7236252284103719E-5</v>
      </c>
      <c r="AH11">
        <v>-2.1328672572434632E-5</v>
      </c>
      <c r="AI11">
        <v>2.1577074690067716E-6</v>
      </c>
      <c r="AJ11">
        <v>-9.3919995001923674E-6</v>
      </c>
      <c r="AK11">
        <v>-2.776728696372689E-5</v>
      </c>
      <c r="AL11">
        <v>-3.8154644868523423E-5</v>
      </c>
      <c r="AM11">
        <v>1.63493377009333E-5</v>
      </c>
      <c r="AN11">
        <v>-3.6571821871233646E-7</v>
      </c>
      <c r="AO11">
        <v>-5.3264471876781933E-4</v>
      </c>
    </row>
    <row r="12" spans="1:41" x14ac:dyDescent="0.2">
      <c r="A12" t="s">
        <v>84</v>
      </c>
      <c r="B12">
        <v>-1.9230615601548033E-2</v>
      </c>
      <c r="C12">
        <v>4.2109050237203645E-5</v>
      </c>
      <c r="D12">
        <v>1.5519692528133884E-5</v>
      </c>
      <c r="E12">
        <v>-1.3909825338824214E-7</v>
      </c>
      <c r="F12">
        <v>-1.1898654312058325E-4</v>
      </c>
      <c r="G12">
        <v>-1.2041152872455449E-4</v>
      </c>
      <c r="H12">
        <v>-1.1587340075907827E-4</v>
      </c>
      <c r="I12">
        <v>5.8332553898956022E-5</v>
      </c>
      <c r="J12">
        <v>3.457120980685603E-5</v>
      </c>
      <c r="K12">
        <v>6.3454762359246592E-5</v>
      </c>
      <c r="L12">
        <v>1.2892533516762985E-4</v>
      </c>
      <c r="M12">
        <v>3.7341609783015961E-4</v>
      </c>
      <c r="N12">
        <v>1.8049812666039308E-4</v>
      </c>
      <c r="O12">
        <v>4.1399632501243686E-8</v>
      </c>
      <c r="P12">
        <v>8.3092952042219245E-7</v>
      </c>
      <c r="Q12">
        <v>-3.4030673416989704E-7</v>
      </c>
      <c r="R12">
        <v>-3.8446344017023734E-7</v>
      </c>
      <c r="S12">
        <v>2.4842222304656634E-6</v>
      </c>
      <c r="T12">
        <v>1.2423802773420121E-6</v>
      </c>
      <c r="U12">
        <v>-3.5835750230476692E-5</v>
      </c>
      <c r="V12">
        <v>-2.4746184041284355E-5</v>
      </c>
      <c r="W12">
        <v>-5.1158104223047948E-6</v>
      </c>
      <c r="X12">
        <v>-8.2837117876991364E-6</v>
      </c>
      <c r="Y12">
        <v>1.0860984595974319E-5</v>
      </c>
      <c r="Z12">
        <v>2.7258272081057448E-5</v>
      </c>
      <c r="AA12">
        <v>1.6044709611940712E-5</v>
      </c>
      <c r="AB12">
        <v>2.5060980907085897E-5</v>
      </c>
      <c r="AC12">
        <v>1.4099501174538747E-5</v>
      </c>
      <c r="AD12">
        <v>1.3223559615890932E-5</v>
      </c>
      <c r="AE12">
        <v>2.1323494472846253E-5</v>
      </c>
      <c r="AF12">
        <v>2.3545036581654134E-5</v>
      </c>
      <c r="AG12">
        <v>1.7991397734547199E-6</v>
      </c>
      <c r="AH12">
        <v>-2.6324054721312213E-5</v>
      </c>
      <c r="AI12">
        <v>1.1369720177394207E-6</v>
      </c>
      <c r="AJ12">
        <v>2.5309673873697116E-6</v>
      </c>
      <c r="AK12">
        <v>-1.4362917753677845E-5</v>
      </c>
      <c r="AL12">
        <v>-7.1004307677133933E-6</v>
      </c>
      <c r="AM12">
        <v>-4.9803772803065909E-5</v>
      </c>
      <c r="AN12">
        <v>8.0467284849251564E-6</v>
      </c>
      <c r="AO12">
        <v>-5.4347503703197197E-4</v>
      </c>
    </row>
    <row r="13" spans="1:41" x14ac:dyDescent="0.2">
      <c r="A13" t="s">
        <v>107</v>
      </c>
      <c r="B13">
        <v>0.73099038445991438</v>
      </c>
      <c r="C13">
        <v>1.270117185977661E-4</v>
      </c>
      <c r="D13">
        <v>1.6638716657942855E-5</v>
      </c>
      <c r="E13">
        <v>-9.6028655780452437E-8</v>
      </c>
      <c r="F13">
        <v>3.7344987741307501E-5</v>
      </c>
      <c r="G13">
        <v>5.0941384144153647E-5</v>
      </c>
      <c r="H13">
        <v>1.066259836630867E-4</v>
      </c>
      <c r="I13">
        <v>6.4623218574666463E-4</v>
      </c>
      <c r="J13">
        <v>3.4299858852003279E-4</v>
      </c>
      <c r="K13">
        <v>6.1475653808524752E-4</v>
      </c>
      <c r="L13">
        <v>2.5497891490964115E-4</v>
      </c>
      <c r="M13">
        <v>1.8049812666039308E-4</v>
      </c>
      <c r="N13">
        <v>1.8633400393541413E-3</v>
      </c>
      <c r="O13">
        <v>1.2826939911959618E-6</v>
      </c>
      <c r="P13">
        <v>3.8860695470372742E-6</v>
      </c>
      <c r="Q13">
        <v>-2.1072428649543788E-5</v>
      </c>
      <c r="R13">
        <v>-1.4658736258493653E-5</v>
      </c>
      <c r="S13">
        <v>5.4105566576870426E-5</v>
      </c>
      <c r="T13">
        <v>1.0118950069407044E-5</v>
      </c>
      <c r="U13">
        <v>-3.6291728926403377E-5</v>
      </c>
      <c r="V13">
        <v>1.2454019817795096E-5</v>
      </c>
      <c r="W13">
        <v>5.0242081392506664E-5</v>
      </c>
      <c r="X13">
        <v>-5.940709627482387E-7</v>
      </c>
      <c r="Y13">
        <v>2.0043511102936637E-5</v>
      </c>
      <c r="Z13">
        <v>-1.2439838741930991E-5</v>
      </c>
      <c r="AA13">
        <v>8.9544527679327746E-6</v>
      </c>
      <c r="AB13">
        <v>-1.0339314133371276E-5</v>
      </c>
      <c r="AC13">
        <v>3.2681018710547876E-6</v>
      </c>
      <c r="AD13">
        <v>1.2459299904761111E-5</v>
      </c>
      <c r="AE13">
        <v>3.2324593594835311E-5</v>
      </c>
      <c r="AF13">
        <v>3.5356182515562402E-5</v>
      </c>
      <c r="AG13">
        <v>-2.5647707346146778E-5</v>
      </c>
      <c r="AH13">
        <v>-1.3492362165108598E-6</v>
      </c>
      <c r="AI13">
        <v>1.2914631081477215E-6</v>
      </c>
      <c r="AJ13">
        <v>-7.7214980168278257E-6</v>
      </c>
      <c r="AK13">
        <v>-3.5906920868642074E-5</v>
      </c>
      <c r="AL13">
        <v>2.1437156211301183E-5</v>
      </c>
      <c r="AM13">
        <v>-2.3346176406656947E-4</v>
      </c>
      <c r="AN13">
        <v>2.1494953727485006E-5</v>
      </c>
      <c r="AO13">
        <v>-1.6351911539396748E-3</v>
      </c>
    </row>
    <row r="14" spans="1:41" x14ac:dyDescent="0.2">
      <c r="A14" t="s">
        <v>69</v>
      </c>
      <c r="B14">
        <v>2.4061189597683898E-3</v>
      </c>
      <c r="C14">
        <v>-1.7497295950651392E-7</v>
      </c>
      <c r="D14">
        <v>-8.608677104891815E-8</v>
      </c>
      <c r="E14">
        <v>2.1148430006850419E-9</v>
      </c>
      <c r="F14">
        <v>1.2969601210636699E-6</v>
      </c>
      <c r="G14">
        <v>5.0959463311418986E-7</v>
      </c>
      <c r="H14">
        <v>-6.1178942299483995E-7</v>
      </c>
      <c r="I14">
        <v>-4.2249551079401846E-6</v>
      </c>
      <c r="J14">
        <v>-2.0865350287777243E-6</v>
      </c>
      <c r="K14">
        <v>-2.8153646350711939E-6</v>
      </c>
      <c r="L14">
        <v>5.5296996070295891E-7</v>
      </c>
      <c r="M14">
        <v>4.1399632501243686E-8</v>
      </c>
      <c r="N14">
        <v>1.2826939911959618E-6</v>
      </c>
      <c r="O14">
        <v>6.8703122813019144E-7</v>
      </c>
      <c r="P14">
        <v>2.5470424701479499E-8</v>
      </c>
      <c r="Q14">
        <v>8.7491726167180017E-9</v>
      </c>
      <c r="R14">
        <v>-1.4712316826144224E-7</v>
      </c>
      <c r="S14">
        <v>-4.2721712424511374E-7</v>
      </c>
      <c r="T14">
        <v>-4.8883269936896841E-8</v>
      </c>
      <c r="U14">
        <v>-1.6123690844089916E-7</v>
      </c>
      <c r="V14">
        <v>-1.4368869459248013E-7</v>
      </c>
      <c r="W14">
        <v>2.4953826555478149E-7</v>
      </c>
      <c r="X14">
        <v>1.3901111337036837E-6</v>
      </c>
      <c r="Y14">
        <v>1.536786234080957E-6</v>
      </c>
      <c r="Z14">
        <v>1.4027510443830209E-6</v>
      </c>
      <c r="AA14">
        <v>1.6961246875581795E-6</v>
      </c>
      <c r="AB14">
        <v>1.1919746397215558E-6</v>
      </c>
      <c r="AC14">
        <v>4.4828910533765463E-7</v>
      </c>
      <c r="AD14">
        <v>1.0552367431563213E-6</v>
      </c>
      <c r="AE14">
        <v>1.1588138208048384E-6</v>
      </c>
      <c r="AF14">
        <v>1.5080568001178045E-6</v>
      </c>
      <c r="AG14">
        <v>1.0847780282112421E-6</v>
      </c>
      <c r="AH14">
        <v>2.0404636600751107E-6</v>
      </c>
      <c r="AI14">
        <v>-9.2098502222086748E-8</v>
      </c>
      <c r="AJ14">
        <v>4.1819625016350682E-7</v>
      </c>
      <c r="AK14">
        <v>2.4097581512739454E-7</v>
      </c>
      <c r="AL14">
        <v>2.6824416518422467E-6</v>
      </c>
      <c r="AM14">
        <v>6.5865566828934207E-7</v>
      </c>
      <c r="AN14">
        <v>3.321832747277424E-7</v>
      </c>
      <c r="AO14">
        <v>-3.4412328805175546E-5</v>
      </c>
    </row>
    <row r="15" spans="1:41" x14ac:dyDescent="0.2">
      <c r="A15" t="s">
        <v>70</v>
      </c>
      <c r="B15">
        <v>-5.4951444714434398E-4</v>
      </c>
      <c r="C15">
        <v>-1.4994566257428713E-6</v>
      </c>
      <c r="D15">
        <v>-6.9108946551504796E-8</v>
      </c>
      <c r="E15">
        <v>1.8296118912067732E-10</v>
      </c>
      <c r="F15">
        <v>8.1910628549882803E-8</v>
      </c>
      <c r="G15">
        <v>-4.0553372933909993E-7</v>
      </c>
      <c r="H15">
        <v>1.2868872745317068E-8</v>
      </c>
      <c r="I15">
        <v>-1.4311163429972008E-7</v>
      </c>
      <c r="J15">
        <v>4.1172375041740575E-6</v>
      </c>
      <c r="K15">
        <v>3.560420807306047E-7</v>
      </c>
      <c r="L15">
        <v>3.041260504413512E-7</v>
      </c>
      <c r="M15">
        <v>8.3092952042219245E-7</v>
      </c>
      <c r="N15">
        <v>3.8860695470372742E-6</v>
      </c>
      <c r="O15">
        <v>2.5470424701479499E-8</v>
      </c>
      <c r="P15">
        <v>7.7448254399673305E-7</v>
      </c>
      <c r="Q15">
        <v>5.5139222242131448E-8</v>
      </c>
      <c r="R15">
        <v>-7.2263544242106188E-8</v>
      </c>
      <c r="S15">
        <v>1.2026104064224712E-7</v>
      </c>
      <c r="T15">
        <v>-3.6325101316123468E-8</v>
      </c>
      <c r="U15">
        <v>9.8472813517093545E-7</v>
      </c>
      <c r="V15">
        <v>-2.5684142089891057E-7</v>
      </c>
      <c r="W15">
        <v>4.7450994563551044E-7</v>
      </c>
      <c r="X15">
        <v>1.3667473341580673E-6</v>
      </c>
      <c r="Y15">
        <v>-1.2205623820909679E-7</v>
      </c>
      <c r="Z15">
        <v>3.3887815113222046E-7</v>
      </c>
      <c r="AA15">
        <v>2.3487861933969972E-7</v>
      </c>
      <c r="AB15">
        <v>4.827820036782971E-8</v>
      </c>
      <c r="AC15">
        <v>1.691022130997001E-7</v>
      </c>
      <c r="AD15">
        <v>7.9559954278078638E-8</v>
      </c>
      <c r="AE15">
        <v>-1.153142008677008E-7</v>
      </c>
      <c r="AF15">
        <v>5.616785708063195E-7</v>
      </c>
      <c r="AG15">
        <v>-1.381625180368743E-7</v>
      </c>
      <c r="AH15">
        <v>-5.9766201945013849E-7</v>
      </c>
      <c r="AI15">
        <v>1.0739338744568488E-7</v>
      </c>
      <c r="AJ15">
        <v>6.8130810537430747E-7</v>
      </c>
      <c r="AK15">
        <v>-4.1046482608834026E-7</v>
      </c>
      <c r="AL15">
        <v>3.0949798945497398E-7</v>
      </c>
      <c r="AM15">
        <v>-1.347337930095015E-6</v>
      </c>
      <c r="AN15">
        <v>-2.8911255497857073E-7</v>
      </c>
      <c r="AO15">
        <v>-3.9414064892485075E-5</v>
      </c>
    </row>
    <row r="16" spans="1:41" x14ac:dyDescent="0.2">
      <c r="A16" t="s">
        <v>71</v>
      </c>
      <c r="B16">
        <v>0.32101940541753976</v>
      </c>
      <c r="C16">
        <v>-5.3531954898498238E-6</v>
      </c>
      <c r="D16">
        <v>-1.536347316766991E-6</v>
      </c>
      <c r="E16">
        <v>1.207145552570209E-8</v>
      </c>
      <c r="F16">
        <v>-8.9935519123309415E-6</v>
      </c>
      <c r="G16">
        <v>-1.381437123237168E-5</v>
      </c>
      <c r="H16">
        <v>-1.7830999807229341E-5</v>
      </c>
      <c r="I16">
        <v>-1.3100364882227128E-5</v>
      </c>
      <c r="J16">
        <v>-3.3090816531561925E-6</v>
      </c>
      <c r="K16">
        <v>-3.0180719128870262E-6</v>
      </c>
      <c r="L16">
        <v>4.0580589847113218E-6</v>
      </c>
      <c r="M16">
        <v>-3.4030673416989704E-7</v>
      </c>
      <c r="N16">
        <v>-2.1072428649543788E-5</v>
      </c>
      <c r="O16">
        <v>8.7491726167180017E-9</v>
      </c>
      <c r="P16">
        <v>5.5139222242131448E-8</v>
      </c>
      <c r="Q16">
        <v>1.1601900447638937E-5</v>
      </c>
      <c r="R16">
        <v>-4.7609419655916746E-6</v>
      </c>
      <c r="S16">
        <v>1.517182876916146E-7</v>
      </c>
      <c r="T16">
        <v>8.4259698384648042E-9</v>
      </c>
      <c r="U16">
        <v>3.8844588701769459E-6</v>
      </c>
      <c r="V16">
        <v>-9.2919680305201515E-6</v>
      </c>
      <c r="W16">
        <v>3.5544472994521E-6</v>
      </c>
      <c r="X16">
        <v>3.5711153580502524E-6</v>
      </c>
      <c r="Y16">
        <v>-1.5040054810664923E-6</v>
      </c>
      <c r="Z16">
        <v>2.3858785942750532E-6</v>
      </c>
      <c r="AA16">
        <v>2.6211609166088215E-6</v>
      </c>
      <c r="AB16">
        <v>2.7056622169257286E-6</v>
      </c>
      <c r="AC16">
        <v>-2.605222214724787E-7</v>
      </c>
      <c r="AD16">
        <v>2.2235757075913275E-7</v>
      </c>
      <c r="AE16">
        <v>1.9952754419343048E-6</v>
      </c>
      <c r="AF16">
        <v>1.6453882928226238E-6</v>
      </c>
      <c r="AG16">
        <v>1.8468786782025849E-6</v>
      </c>
      <c r="AH16">
        <v>7.0368485019078124E-6</v>
      </c>
      <c r="AI16">
        <v>-5.1425011715176214E-7</v>
      </c>
      <c r="AJ16">
        <v>9.1814994879841418E-7</v>
      </c>
      <c r="AK16">
        <v>-1.0541777492214132E-6</v>
      </c>
      <c r="AL16">
        <v>4.3600975643540386E-6</v>
      </c>
      <c r="AM16">
        <v>7.5876166278279208E-6</v>
      </c>
      <c r="AN16">
        <v>2.3418804342708006E-6</v>
      </c>
      <c r="AO16">
        <v>3.9048960126314834E-5</v>
      </c>
    </row>
    <row r="17" spans="1:41" x14ac:dyDescent="0.2">
      <c r="A17" t="s">
        <v>73</v>
      </c>
      <c r="B17">
        <v>0.18199430815223872</v>
      </c>
      <c r="C17">
        <v>-1.5155861303183292E-6</v>
      </c>
      <c r="D17">
        <v>-1.0323995032686366E-6</v>
      </c>
      <c r="E17">
        <v>6.9027045606775683E-9</v>
      </c>
      <c r="F17">
        <v>3.2648476093662137E-6</v>
      </c>
      <c r="G17">
        <v>-1.8119194207185415E-6</v>
      </c>
      <c r="H17">
        <v>-3.1891966897962991E-6</v>
      </c>
      <c r="I17">
        <v>1.0809049711893318E-5</v>
      </c>
      <c r="J17">
        <v>9.7786109057983878E-6</v>
      </c>
      <c r="K17">
        <v>4.1974053044070616E-6</v>
      </c>
      <c r="L17">
        <v>-1.7939003234247687E-6</v>
      </c>
      <c r="M17">
        <v>-3.8446344017023734E-7</v>
      </c>
      <c r="N17">
        <v>-1.4658736258493653E-5</v>
      </c>
      <c r="O17">
        <v>-1.4712316826144224E-7</v>
      </c>
      <c r="P17">
        <v>-7.2263544242106188E-8</v>
      </c>
      <c r="Q17">
        <v>-4.7609419655916746E-6</v>
      </c>
      <c r="R17">
        <v>1.1150782209758347E-5</v>
      </c>
      <c r="S17">
        <v>7.5923353179144689E-7</v>
      </c>
      <c r="T17">
        <v>2.4255305955986807E-7</v>
      </c>
      <c r="U17">
        <v>1.8115261826380426E-6</v>
      </c>
      <c r="V17">
        <v>3.7614338410963914E-6</v>
      </c>
      <c r="W17">
        <v>-8.8743232831537904E-6</v>
      </c>
      <c r="X17">
        <v>2.7847085968805882E-6</v>
      </c>
      <c r="Y17">
        <v>3.0855959356334061E-6</v>
      </c>
      <c r="Z17">
        <v>3.4751760238567791E-6</v>
      </c>
      <c r="AA17">
        <v>4.0002632136871681E-6</v>
      </c>
      <c r="AB17">
        <v>4.1242177368078062E-6</v>
      </c>
      <c r="AC17">
        <v>3.8285429501208487E-6</v>
      </c>
      <c r="AD17">
        <v>1.9299184412844026E-6</v>
      </c>
      <c r="AE17">
        <v>1.7934340091561959E-6</v>
      </c>
      <c r="AF17">
        <v>5.1088331275677066E-6</v>
      </c>
      <c r="AG17">
        <v>3.7157442196063912E-6</v>
      </c>
      <c r="AH17">
        <v>7.9785047095769514E-6</v>
      </c>
      <c r="AI17">
        <v>-4.127493397227222E-7</v>
      </c>
      <c r="AJ17">
        <v>-3.0026586103652157E-6</v>
      </c>
      <c r="AK17">
        <v>-9.4064923805438718E-7</v>
      </c>
      <c r="AL17">
        <v>4.3602632495344985E-6</v>
      </c>
      <c r="AM17">
        <v>8.527376041191895E-6</v>
      </c>
      <c r="AN17">
        <v>-1.351941226906988E-6</v>
      </c>
      <c r="AO17">
        <v>2.36790758810065E-5</v>
      </c>
    </row>
    <row r="18" spans="1:41" x14ac:dyDescent="0.2">
      <c r="A18" t="s">
        <v>72</v>
      </c>
      <c r="B18">
        <v>-3.8694412805732326E-2</v>
      </c>
      <c r="C18">
        <v>-2.7620411428974762E-5</v>
      </c>
      <c r="D18">
        <v>5.5876228782241875E-7</v>
      </c>
      <c r="E18">
        <v>-3.1988844479584337E-10</v>
      </c>
      <c r="F18">
        <v>6.8287526524473752E-6</v>
      </c>
      <c r="G18">
        <v>1.1571335261355395E-5</v>
      </c>
      <c r="H18">
        <v>-2.9998962815058197E-5</v>
      </c>
      <c r="I18">
        <v>1.459385340810024E-3</v>
      </c>
      <c r="J18">
        <v>1.4556672730341646E-3</v>
      </c>
      <c r="K18">
        <v>1.4249645701050096E-3</v>
      </c>
      <c r="L18">
        <v>-1.8357519220533122E-5</v>
      </c>
      <c r="M18">
        <v>2.4842222304656634E-6</v>
      </c>
      <c r="N18">
        <v>5.4105566576870426E-5</v>
      </c>
      <c r="O18">
        <v>-4.2721712424511374E-7</v>
      </c>
      <c r="P18">
        <v>1.2026104064224712E-7</v>
      </c>
      <c r="Q18">
        <v>1.517182876916146E-7</v>
      </c>
      <c r="R18">
        <v>7.5923353179144689E-7</v>
      </c>
      <c r="S18">
        <v>1.8790441831838435E-4</v>
      </c>
      <c r="T18">
        <v>-1.2043406537684755E-5</v>
      </c>
      <c r="U18">
        <v>2.2667954182405992E-5</v>
      </c>
      <c r="V18">
        <v>-3.2175161054453136E-6</v>
      </c>
      <c r="W18">
        <v>-5.9199268637214768E-7</v>
      </c>
      <c r="X18">
        <v>2.4243117898740106E-5</v>
      </c>
      <c r="Y18">
        <v>2.3648806993240381E-5</v>
      </c>
      <c r="Z18">
        <v>3.0272815808353622E-5</v>
      </c>
      <c r="AA18">
        <v>2.5379399672160021E-5</v>
      </c>
      <c r="AB18">
        <v>2.511031851881436E-5</v>
      </c>
      <c r="AC18">
        <v>2.1599967874876892E-5</v>
      </c>
      <c r="AD18">
        <v>2.2853697784807399E-5</v>
      </c>
      <c r="AE18">
        <v>3.852293811282357E-5</v>
      </c>
      <c r="AF18">
        <v>3.3840850845652439E-5</v>
      </c>
      <c r="AG18">
        <v>2.1868524564750986E-5</v>
      </c>
      <c r="AH18">
        <v>3.1396407090419041E-5</v>
      </c>
      <c r="AI18">
        <v>-6.3526554197650608E-7</v>
      </c>
      <c r="AJ18">
        <v>3.2842986229008258E-6</v>
      </c>
      <c r="AK18">
        <v>3.2311034194785712E-6</v>
      </c>
      <c r="AL18">
        <v>1.5812283678252577E-6</v>
      </c>
      <c r="AM18">
        <v>6.381169200889809E-6</v>
      </c>
      <c r="AN18">
        <v>9.1544779204155066E-6</v>
      </c>
      <c r="AO18">
        <v>-1.4532553599230166E-3</v>
      </c>
    </row>
    <row r="19" spans="1:41" x14ac:dyDescent="0.2">
      <c r="A19" t="s">
        <v>74</v>
      </c>
      <c r="B19">
        <v>3.7080645074389477E-3</v>
      </c>
      <c r="C19">
        <v>-2.1198305847800737E-6</v>
      </c>
      <c r="D19">
        <v>-1.9061413944515311E-6</v>
      </c>
      <c r="E19">
        <v>1.717943644014795E-8</v>
      </c>
      <c r="F19">
        <v>-1.488149793596577E-5</v>
      </c>
      <c r="G19">
        <v>-1.6205770632295727E-5</v>
      </c>
      <c r="H19">
        <v>-1.921215607137935E-5</v>
      </c>
      <c r="I19">
        <v>-1.8719119659052898E-5</v>
      </c>
      <c r="J19">
        <v>-2.8821941846410867E-5</v>
      </c>
      <c r="K19">
        <v>1.368049911181998E-5</v>
      </c>
      <c r="L19">
        <v>-4.2619625455189237E-7</v>
      </c>
      <c r="M19">
        <v>1.2423802773420121E-6</v>
      </c>
      <c r="N19">
        <v>1.0118950069407044E-5</v>
      </c>
      <c r="O19">
        <v>-4.8883269936896841E-8</v>
      </c>
      <c r="P19">
        <v>-3.6325101316123468E-8</v>
      </c>
      <c r="Q19">
        <v>8.4259698384648042E-9</v>
      </c>
      <c r="R19">
        <v>2.4255305955986807E-7</v>
      </c>
      <c r="S19">
        <v>-1.2043406537684755E-5</v>
      </c>
      <c r="T19">
        <v>1.560387901481565E-5</v>
      </c>
      <c r="U19">
        <v>3.7209661049674085E-6</v>
      </c>
      <c r="V19">
        <v>-2.7959405765992585E-6</v>
      </c>
      <c r="W19">
        <v>6.3463550337637761E-6</v>
      </c>
      <c r="X19">
        <v>5.2767865323125449E-6</v>
      </c>
      <c r="Y19">
        <v>3.8629493467734596E-6</v>
      </c>
      <c r="Z19">
        <v>4.5389563445595704E-6</v>
      </c>
      <c r="AA19">
        <v>5.0329725697253048E-6</v>
      </c>
      <c r="AB19">
        <v>5.9079807172186127E-6</v>
      </c>
      <c r="AC19">
        <v>5.1129125953643163E-6</v>
      </c>
      <c r="AD19">
        <v>4.2017440841982135E-6</v>
      </c>
      <c r="AE19">
        <v>1.9993068742411594E-6</v>
      </c>
      <c r="AF19">
        <v>1.3266782062210556E-6</v>
      </c>
      <c r="AG19">
        <v>4.1685128356868108E-6</v>
      </c>
      <c r="AH19">
        <v>4.4802358807886949E-6</v>
      </c>
      <c r="AI19">
        <v>1.0029205517917309E-8</v>
      </c>
      <c r="AJ19">
        <v>8.102493675527444E-7</v>
      </c>
      <c r="AK19">
        <v>-1.8790865562879178E-6</v>
      </c>
      <c r="AL19">
        <v>4.1565977843333987E-6</v>
      </c>
      <c r="AM19">
        <v>3.3731538269513224E-7</v>
      </c>
      <c r="AN19">
        <v>5.5980648424807386E-6</v>
      </c>
      <c r="AO19">
        <v>4.3550605794280104E-5</v>
      </c>
    </row>
    <row r="20" spans="1:41" x14ac:dyDescent="0.2">
      <c r="A20" t="s">
        <v>75</v>
      </c>
      <c r="B20">
        <v>-0.36430315367417426</v>
      </c>
      <c r="C20">
        <v>-2.8822877679502313E-4</v>
      </c>
      <c r="D20">
        <v>-4.434195620319248E-6</v>
      </c>
      <c r="E20">
        <v>4.276152998438349E-8</v>
      </c>
      <c r="F20">
        <v>6.1385980952328358E-3</v>
      </c>
      <c r="G20">
        <v>6.1462854747734484E-3</v>
      </c>
      <c r="H20">
        <v>6.1384269080469699E-3</v>
      </c>
      <c r="I20">
        <v>1.534002476995971E-4</v>
      </c>
      <c r="J20">
        <v>1.3147810233899294E-4</v>
      </c>
      <c r="K20">
        <v>1.5827122860301442E-4</v>
      </c>
      <c r="L20">
        <v>-5.935998217894634E-5</v>
      </c>
      <c r="M20">
        <v>-3.5835750230476692E-5</v>
      </c>
      <c r="N20">
        <v>-3.6291728926403377E-5</v>
      </c>
      <c r="O20">
        <v>-1.6123690844089916E-7</v>
      </c>
      <c r="P20">
        <v>9.8472813517093545E-7</v>
      </c>
      <c r="Q20">
        <v>3.8844588701769459E-6</v>
      </c>
      <c r="R20">
        <v>1.8115261826380426E-6</v>
      </c>
      <c r="S20">
        <v>2.2667954182405992E-5</v>
      </c>
      <c r="T20">
        <v>3.7209661049674085E-6</v>
      </c>
      <c r="U20">
        <v>1.1644539333536928E-2</v>
      </c>
      <c r="V20">
        <v>-1.0223170931733823E-4</v>
      </c>
      <c r="W20">
        <v>1.5937046494453447E-4</v>
      </c>
      <c r="X20">
        <v>3.1826020856524613E-5</v>
      </c>
      <c r="Y20">
        <v>3.8735762465571394E-6</v>
      </c>
      <c r="Z20">
        <v>3.6437536052999139E-6</v>
      </c>
      <c r="AA20">
        <v>-2.9864091541102495E-5</v>
      </c>
      <c r="AB20">
        <v>2.400581066683543E-6</v>
      </c>
      <c r="AC20">
        <v>4.227836629477422E-5</v>
      </c>
      <c r="AD20">
        <v>5.0246663813231264E-7</v>
      </c>
      <c r="AE20">
        <v>-1.5976618135774348E-5</v>
      </c>
      <c r="AF20">
        <v>-1.3400756878698822E-5</v>
      </c>
      <c r="AG20">
        <v>1.7630805351213051E-5</v>
      </c>
      <c r="AH20">
        <v>-9.9054433084500015E-6</v>
      </c>
      <c r="AI20">
        <v>-2.1012062278617316E-7</v>
      </c>
      <c r="AJ20">
        <v>5.9819515368537415E-5</v>
      </c>
      <c r="AK20">
        <v>8.8653273734352629E-6</v>
      </c>
      <c r="AL20">
        <v>1.4947334941173718E-5</v>
      </c>
      <c r="AM20">
        <v>2.0260676060124619E-4</v>
      </c>
      <c r="AN20">
        <v>-1.0687572921081777E-4</v>
      </c>
      <c r="AO20">
        <v>-6.1314241443473569E-3</v>
      </c>
    </row>
    <row r="21" spans="1:41" x14ac:dyDescent="0.2">
      <c r="A21" t="s">
        <v>78</v>
      </c>
      <c r="B21">
        <v>-1.1885336269899242E-2</v>
      </c>
      <c r="C21">
        <v>-3.9636565451861906E-7</v>
      </c>
      <c r="D21">
        <v>-3.5751014008650306E-6</v>
      </c>
      <c r="E21">
        <v>3.1729360639825383E-8</v>
      </c>
      <c r="F21">
        <v>4.3530535981640842E-4</v>
      </c>
      <c r="G21">
        <v>4.4083844204289592E-4</v>
      </c>
      <c r="H21">
        <v>4.5207160257940441E-4</v>
      </c>
      <c r="I21">
        <v>-1.7498390685575426E-4</v>
      </c>
      <c r="J21">
        <v>-3.200005723544893E-5</v>
      </c>
      <c r="K21">
        <v>-3.3566393131130443E-5</v>
      </c>
      <c r="L21">
        <v>3.0486475301914989E-5</v>
      </c>
      <c r="M21">
        <v>-2.4746184041284355E-5</v>
      </c>
      <c r="N21">
        <v>1.2454019817795096E-5</v>
      </c>
      <c r="O21">
        <v>-1.4368869459248013E-7</v>
      </c>
      <c r="P21">
        <v>-2.5684142089891057E-7</v>
      </c>
      <c r="Q21">
        <v>-9.2919680305201515E-6</v>
      </c>
      <c r="R21">
        <v>3.7614338410963914E-6</v>
      </c>
      <c r="S21">
        <v>-3.2175161054453136E-6</v>
      </c>
      <c r="T21">
        <v>-2.7959405765992585E-6</v>
      </c>
      <c r="U21">
        <v>-1.0223170931733823E-4</v>
      </c>
      <c r="V21">
        <v>3.8064939705346584E-4</v>
      </c>
      <c r="W21">
        <v>-2.1829311823457718E-4</v>
      </c>
      <c r="X21">
        <v>-4.2171250872589494E-5</v>
      </c>
      <c r="Y21">
        <v>-3.6492180626092902E-5</v>
      </c>
      <c r="Z21">
        <v>-3.6384994292422738E-5</v>
      </c>
      <c r="AA21">
        <v>-2.2757776146974801E-5</v>
      </c>
      <c r="AB21">
        <v>-3.3818519236943257E-5</v>
      </c>
      <c r="AC21">
        <v>-3.2894448644721648E-5</v>
      </c>
      <c r="AD21">
        <v>-3.6691157682050459E-5</v>
      </c>
      <c r="AE21">
        <v>-3.2854031895264554E-5</v>
      </c>
      <c r="AF21">
        <v>-3.4530244127129221E-5</v>
      </c>
      <c r="AG21">
        <v>-3.6502673171911738E-5</v>
      </c>
      <c r="AH21">
        <v>-4.585399464575291E-5</v>
      </c>
      <c r="AI21">
        <v>-2.6117751414761211E-6</v>
      </c>
      <c r="AJ21">
        <v>-3.2347853464829578E-6</v>
      </c>
      <c r="AK21">
        <v>1.7587659597228012E-5</v>
      </c>
      <c r="AL21">
        <v>-3.4887030744446722E-5</v>
      </c>
      <c r="AM21">
        <v>3.7464520575365874E-8</v>
      </c>
      <c r="AN21">
        <v>-4.5810806777510992E-5</v>
      </c>
      <c r="AO21">
        <v>-1.8628682513090414E-4</v>
      </c>
    </row>
    <row r="22" spans="1:41" x14ac:dyDescent="0.2">
      <c r="A22" t="s">
        <v>79</v>
      </c>
      <c r="B22">
        <v>-7.7489399593052344E-2</v>
      </c>
      <c r="C22">
        <v>1.4174068357906867E-6</v>
      </c>
      <c r="D22">
        <v>3.9842410611056416E-6</v>
      </c>
      <c r="E22">
        <v>-2.5907375506390024E-8</v>
      </c>
      <c r="F22">
        <v>2.4967898526745907E-5</v>
      </c>
      <c r="G22">
        <v>2.9067748655400339E-5</v>
      </c>
      <c r="H22">
        <v>2.1136216032813406E-5</v>
      </c>
      <c r="I22">
        <v>-2.5771157039768567E-5</v>
      </c>
      <c r="J22">
        <v>5.6714386158160921E-6</v>
      </c>
      <c r="K22">
        <v>3.6942815007463928E-5</v>
      </c>
      <c r="L22">
        <v>1.6718733261633282E-5</v>
      </c>
      <c r="M22">
        <v>-5.1158104223047948E-6</v>
      </c>
      <c r="N22">
        <v>5.0242081392506664E-5</v>
      </c>
      <c r="O22">
        <v>2.4953826555478149E-7</v>
      </c>
      <c r="P22">
        <v>4.7450994563551044E-7</v>
      </c>
      <c r="Q22">
        <v>3.5544472994521E-6</v>
      </c>
      <c r="R22">
        <v>-8.8743232831537904E-6</v>
      </c>
      <c r="S22">
        <v>-5.9199268637214768E-7</v>
      </c>
      <c r="T22">
        <v>6.3463550337637761E-6</v>
      </c>
      <c r="U22">
        <v>1.5937046494453447E-4</v>
      </c>
      <c r="V22">
        <v>-2.1829311823457718E-4</v>
      </c>
      <c r="W22">
        <v>4.5057022285196769E-4</v>
      </c>
      <c r="X22">
        <v>2.2267316220328018E-5</v>
      </c>
      <c r="Y22">
        <v>1.6459516628052065E-5</v>
      </c>
      <c r="Z22">
        <v>1.7788278750002193E-5</v>
      </c>
      <c r="AA22">
        <v>1.4959518335566855E-5</v>
      </c>
      <c r="AB22">
        <v>1.2256987475773933E-5</v>
      </c>
      <c r="AC22">
        <v>1.1370198167323454E-5</v>
      </c>
      <c r="AD22">
        <v>2.7415371564942193E-5</v>
      </c>
      <c r="AE22">
        <v>2.2847682324746949E-5</v>
      </c>
      <c r="AF22">
        <v>1.0464264032597774E-5</v>
      </c>
      <c r="AG22">
        <v>9.1364941528448117E-6</v>
      </c>
      <c r="AH22">
        <v>4.9058344433287329E-6</v>
      </c>
      <c r="AI22">
        <v>6.7690004293703038E-7</v>
      </c>
      <c r="AJ22">
        <v>1.1983035947649971E-5</v>
      </c>
      <c r="AK22">
        <v>-7.4965991660046706E-6</v>
      </c>
      <c r="AL22">
        <v>-4.7423909737649901E-6</v>
      </c>
      <c r="AM22">
        <v>-2.2093305674109024E-5</v>
      </c>
      <c r="AN22">
        <v>1.3576098416118347E-5</v>
      </c>
      <c r="AO22">
        <v>-2.5793828263082801E-4</v>
      </c>
    </row>
    <row r="23" spans="1:41" x14ac:dyDescent="0.2">
      <c r="A23" t="s">
        <v>85</v>
      </c>
      <c r="B23">
        <v>-0.19208505236403228</v>
      </c>
      <c r="C23">
        <v>2.0168199028297465E-5</v>
      </c>
      <c r="D23">
        <v>-6.6282882306403556E-6</v>
      </c>
      <c r="E23">
        <v>6.4423761010080408E-8</v>
      </c>
      <c r="F23">
        <v>-1.653233228076029E-5</v>
      </c>
      <c r="G23">
        <v>-4.8207241152970186E-5</v>
      </c>
      <c r="H23">
        <v>1.9476797974960023E-5</v>
      </c>
      <c r="I23">
        <v>1.7579729442652667E-4</v>
      </c>
      <c r="J23">
        <v>1.9331758381344174E-4</v>
      </c>
      <c r="K23">
        <v>1.8801950390440842E-4</v>
      </c>
      <c r="L23">
        <v>-2.3135705415444348E-5</v>
      </c>
      <c r="M23">
        <v>-8.2837117876991364E-6</v>
      </c>
      <c r="N23">
        <v>-5.940709627482387E-7</v>
      </c>
      <c r="O23">
        <v>1.3901111337036837E-6</v>
      </c>
      <c r="P23">
        <v>1.3667473341580673E-6</v>
      </c>
      <c r="Q23">
        <v>3.5711153580502524E-6</v>
      </c>
      <c r="R23">
        <v>2.7847085968805882E-6</v>
      </c>
      <c r="S23">
        <v>2.4243117898740106E-5</v>
      </c>
      <c r="T23">
        <v>5.2767865323125449E-6</v>
      </c>
      <c r="U23">
        <v>3.1826020856524613E-5</v>
      </c>
      <c r="V23">
        <v>-4.2171250872589494E-5</v>
      </c>
      <c r="W23">
        <v>2.2267316220328018E-5</v>
      </c>
      <c r="X23">
        <v>3.1912064448275886E-3</v>
      </c>
      <c r="Y23">
        <v>1.1462723828315779E-3</v>
      </c>
      <c r="Z23">
        <v>1.1446002998360284E-3</v>
      </c>
      <c r="AA23">
        <v>1.1474835875126118E-3</v>
      </c>
      <c r="AB23">
        <v>1.1382807260700101E-3</v>
      </c>
      <c r="AC23">
        <v>1.1330792745698178E-3</v>
      </c>
      <c r="AD23">
        <v>1.1353302464221697E-3</v>
      </c>
      <c r="AE23">
        <v>1.1491409810139603E-3</v>
      </c>
      <c r="AF23">
        <v>1.1516990394320069E-3</v>
      </c>
      <c r="AG23">
        <v>1.1433089043846039E-3</v>
      </c>
      <c r="AH23">
        <v>1.1560887774705105E-3</v>
      </c>
      <c r="AI23">
        <v>-2.4067483438491318E-6</v>
      </c>
      <c r="AJ23">
        <v>7.4472301365781683E-6</v>
      </c>
      <c r="AK23">
        <v>4.1534465893141502E-5</v>
      </c>
      <c r="AL23">
        <v>4.3167713099429798E-4</v>
      </c>
      <c r="AM23">
        <v>5.6211412798343185E-4</v>
      </c>
      <c r="AN23">
        <v>3.6870726973792272E-4</v>
      </c>
      <c r="AO23">
        <v>-1.324992300458565E-3</v>
      </c>
    </row>
    <row r="24" spans="1:41" x14ac:dyDescent="0.2">
      <c r="A24" t="s">
        <v>86</v>
      </c>
      <c r="B24">
        <v>-4.4343158159616716E-2</v>
      </c>
      <c r="C24">
        <v>1.8106941531882291E-5</v>
      </c>
      <c r="D24">
        <v>-5.8749730147361981E-6</v>
      </c>
      <c r="E24">
        <v>5.9953066277347236E-8</v>
      </c>
      <c r="F24">
        <v>-1.023741298780325E-4</v>
      </c>
      <c r="G24">
        <v>-1.2281329624237204E-4</v>
      </c>
      <c r="H24">
        <v>-6.4072474371701729E-5</v>
      </c>
      <c r="I24">
        <v>1.1410155910938132E-4</v>
      </c>
      <c r="J24">
        <v>2.1587415240024305E-4</v>
      </c>
      <c r="K24">
        <v>1.8757663487806945E-4</v>
      </c>
      <c r="L24">
        <v>-1.9404105237462996E-5</v>
      </c>
      <c r="M24">
        <v>1.0860984595974319E-5</v>
      </c>
      <c r="N24">
        <v>2.0043511102936637E-5</v>
      </c>
      <c r="O24">
        <v>1.536786234080957E-6</v>
      </c>
      <c r="P24">
        <v>-1.2205623820909679E-7</v>
      </c>
      <c r="Q24">
        <v>-1.5040054810664923E-6</v>
      </c>
      <c r="R24">
        <v>3.0855959356334061E-6</v>
      </c>
      <c r="S24">
        <v>2.3648806993240381E-5</v>
      </c>
      <c r="T24">
        <v>3.8629493467734596E-6</v>
      </c>
      <c r="U24">
        <v>3.8735762465571394E-6</v>
      </c>
      <c r="V24">
        <v>-3.6492180626092902E-5</v>
      </c>
      <c r="W24">
        <v>1.6459516628052065E-5</v>
      </c>
      <c r="X24">
        <v>1.1462723828315779E-3</v>
      </c>
      <c r="Y24">
        <v>1.7464272414820779E-3</v>
      </c>
      <c r="Z24">
        <v>1.1348082437575894E-3</v>
      </c>
      <c r="AA24">
        <v>1.1384674243681983E-3</v>
      </c>
      <c r="AB24">
        <v>1.1317671210041786E-3</v>
      </c>
      <c r="AC24">
        <v>1.1263613681826064E-3</v>
      </c>
      <c r="AD24">
        <v>1.128808877450942E-3</v>
      </c>
      <c r="AE24">
        <v>1.14117356260441E-3</v>
      </c>
      <c r="AF24">
        <v>1.14372917887668E-3</v>
      </c>
      <c r="AG24">
        <v>1.1362500912167803E-3</v>
      </c>
      <c r="AH24">
        <v>1.1430395724950355E-3</v>
      </c>
      <c r="AI24">
        <v>-2.7841855979954743E-6</v>
      </c>
      <c r="AJ24">
        <v>5.7781813867932786E-6</v>
      </c>
      <c r="AK24">
        <v>3.0331697781817033E-5</v>
      </c>
      <c r="AL24">
        <v>4.1651939614859934E-4</v>
      </c>
      <c r="AM24">
        <v>5.1452808297745389E-4</v>
      </c>
      <c r="AN24">
        <v>3.706786470324498E-4</v>
      </c>
      <c r="AO24">
        <v>-1.1676906596609343E-3</v>
      </c>
    </row>
    <row r="25" spans="1:41" x14ac:dyDescent="0.2">
      <c r="A25" t="s">
        <v>87</v>
      </c>
      <c r="B25">
        <v>-0.14135347141675061</v>
      </c>
      <c r="C25">
        <v>1.716159711076057E-5</v>
      </c>
      <c r="D25">
        <v>-5.2317340549939723E-6</v>
      </c>
      <c r="E25">
        <v>4.9275920946854084E-8</v>
      </c>
      <c r="F25">
        <v>-9.3292310732144036E-5</v>
      </c>
      <c r="G25">
        <v>-1.0352651447399688E-4</v>
      </c>
      <c r="H25">
        <v>-5.1588508130607884E-5</v>
      </c>
      <c r="I25">
        <v>1.6782393569585337E-4</v>
      </c>
      <c r="J25">
        <v>2.5575935254726866E-4</v>
      </c>
      <c r="K25">
        <v>2.635845567738257E-4</v>
      </c>
      <c r="L25">
        <v>-8.1011175681967645E-6</v>
      </c>
      <c r="M25">
        <v>2.7258272081057448E-5</v>
      </c>
      <c r="N25">
        <v>-1.2439838741930991E-5</v>
      </c>
      <c r="O25">
        <v>1.4027510443830209E-6</v>
      </c>
      <c r="P25">
        <v>3.3887815113222046E-7</v>
      </c>
      <c r="Q25">
        <v>2.3858785942750532E-6</v>
      </c>
      <c r="R25">
        <v>3.4751760238567791E-6</v>
      </c>
      <c r="S25">
        <v>3.0272815808353622E-5</v>
      </c>
      <c r="T25">
        <v>4.5389563445595704E-6</v>
      </c>
      <c r="U25">
        <v>3.6437536052999139E-6</v>
      </c>
      <c r="V25">
        <v>-3.6384994292422738E-5</v>
      </c>
      <c r="W25">
        <v>1.7788278750002193E-5</v>
      </c>
      <c r="X25">
        <v>1.1446002998360284E-3</v>
      </c>
      <c r="Y25">
        <v>1.1348082437575894E-3</v>
      </c>
      <c r="Z25">
        <v>1.8176453141073314E-3</v>
      </c>
      <c r="AA25">
        <v>1.1397697042161881E-3</v>
      </c>
      <c r="AB25">
        <v>1.128784785661965E-3</v>
      </c>
      <c r="AC25">
        <v>1.1250334927132455E-3</v>
      </c>
      <c r="AD25">
        <v>1.1257472987361646E-3</v>
      </c>
      <c r="AE25">
        <v>1.1382163653080907E-3</v>
      </c>
      <c r="AF25">
        <v>1.1397015606893113E-3</v>
      </c>
      <c r="AG25">
        <v>1.1336446885798438E-3</v>
      </c>
      <c r="AH25">
        <v>1.1415876819038295E-3</v>
      </c>
      <c r="AI25">
        <v>-5.6663899860715222E-6</v>
      </c>
      <c r="AJ25">
        <v>2.3340163107962592E-5</v>
      </c>
      <c r="AK25">
        <v>3.2388485034232886E-5</v>
      </c>
      <c r="AL25">
        <v>3.8107066925801403E-4</v>
      </c>
      <c r="AM25">
        <v>5.3615272452121388E-4</v>
      </c>
      <c r="AN25">
        <v>3.1653769657158257E-4</v>
      </c>
      <c r="AO25">
        <v>-1.2297016688983676E-3</v>
      </c>
    </row>
    <row r="26" spans="1:41" x14ac:dyDescent="0.2">
      <c r="A26" t="s">
        <v>88</v>
      </c>
      <c r="B26">
        <v>-0.16936194354377543</v>
      </c>
      <c r="C26">
        <v>5.2534762994789009E-6</v>
      </c>
      <c r="D26">
        <v>-5.2459019297661919E-6</v>
      </c>
      <c r="E26">
        <v>5.350451242890239E-8</v>
      </c>
      <c r="F26">
        <v>-7.4893096130581281E-5</v>
      </c>
      <c r="G26">
        <v>-7.6489898703208971E-5</v>
      </c>
      <c r="H26">
        <v>-2.694441276649296E-5</v>
      </c>
      <c r="I26">
        <v>1.5888448599942449E-4</v>
      </c>
      <c r="J26">
        <v>2.1726446013885931E-4</v>
      </c>
      <c r="K26">
        <v>2.2074242532467425E-4</v>
      </c>
      <c r="L26">
        <v>3.0914567665186934E-6</v>
      </c>
      <c r="M26">
        <v>1.6044709611940712E-5</v>
      </c>
      <c r="N26">
        <v>8.9544527679327746E-6</v>
      </c>
      <c r="O26">
        <v>1.6961246875581795E-6</v>
      </c>
      <c r="P26">
        <v>2.3487861933969972E-7</v>
      </c>
      <c r="Q26">
        <v>2.6211609166088215E-6</v>
      </c>
      <c r="R26">
        <v>4.0002632136871681E-6</v>
      </c>
      <c r="S26">
        <v>2.5379399672160021E-5</v>
      </c>
      <c r="T26">
        <v>5.0329725697253048E-6</v>
      </c>
      <c r="U26">
        <v>-2.9864091541102495E-5</v>
      </c>
      <c r="V26">
        <v>-2.2757776146974801E-5</v>
      </c>
      <c r="W26">
        <v>1.4959518335566855E-5</v>
      </c>
      <c r="X26">
        <v>1.1474835875126118E-3</v>
      </c>
      <c r="Y26">
        <v>1.1384674243681983E-3</v>
      </c>
      <c r="Z26">
        <v>1.1397697042161881E-3</v>
      </c>
      <c r="AA26">
        <v>1.8144279274826104E-3</v>
      </c>
      <c r="AB26">
        <v>1.1332280210354486E-3</v>
      </c>
      <c r="AC26">
        <v>1.1300525299616261E-3</v>
      </c>
      <c r="AD26">
        <v>1.1308227916388431E-3</v>
      </c>
      <c r="AE26">
        <v>1.1426074833789383E-3</v>
      </c>
      <c r="AF26">
        <v>1.1435046553021271E-3</v>
      </c>
      <c r="AG26">
        <v>1.1369669078199829E-3</v>
      </c>
      <c r="AH26">
        <v>1.1468070861799576E-3</v>
      </c>
      <c r="AI26">
        <v>-5.5831940987959727E-6</v>
      </c>
      <c r="AJ26">
        <v>-2.2579550650676967E-6</v>
      </c>
      <c r="AK26">
        <v>2.0023492761219504E-5</v>
      </c>
      <c r="AL26">
        <v>4.108427871946412E-4</v>
      </c>
      <c r="AM26">
        <v>5.2694404692267191E-4</v>
      </c>
      <c r="AN26">
        <v>3.6168256872783712E-4</v>
      </c>
      <c r="AO26">
        <v>-1.2379771050405211E-3</v>
      </c>
    </row>
    <row r="27" spans="1:41" x14ac:dyDescent="0.2">
      <c r="A27" t="s">
        <v>89</v>
      </c>
      <c r="B27">
        <v>-0.16020608076162199</v>
      </c>
      <c r="C27">
        <v>1.3332782705770301E-5</v>
      </c>
      <c r="D27">
        <v>-7.4893907536117683E-6</v>
      </c>
      <c r="E27">
        <v>6.5179825522486985E-8</v>
      </c>
      <c r="F27">
        <v>-9.3098104250638296E-5</v>
      </c>
      <c r="G27">
        <v>-1.0339935843799511E-4</v>
      </c>
      <c r="H27">
        <v>-6.8576755440107919E-5</v>
      </c>
      <c r="I27">
        <v>1.0103415837033145E-4</v>
      </c>
      <c r="J27">
        <v>2.2197580072691979E-4</v>
      </c>
      <c r="K27">
        <v>2.337387233094573E-4</v>
      </c>
      <c r="L27">
        <v>4.6540803508495496E-6</v>
      </c>
      <c r="M27">
        <v>2.5060980907085897E-5</v>
      </c>
      <c r="N27">
        <v>-1.0339314133371276E-5</v>
      </c>
      <c r="O27">
        <v>1.1919746397215558E-6</v>
      </c>
      <c r="P27">
        <v>4.827820036782971E-8</v>
      </c>
      <c r="Q27">
        <v>2.7056622169257286E-6</v>
      </c>
      <c r="R27">
        <v>4.1242177368078062E-6</v>
      </c>
      <c r="S27">
        <v>2.511031851881436E-5</v>
      </c>
      <c r="T27">
        <v>5.9079807172186127E-6</v>
      </c>
      <c r="U27">
        <v>2.400581066683543E-6</v>
      </c>
      <c r="V27">
        <v>-3.3818519236943257E-5</v>
      </c>
      <c r="W27">
        <v>1.2256987475773933E-5</v>
      </c>
      <c r="X27">
        <v>1.1382807260700101E-3</v>
      </c>
      <c r="Y27">
        <v>1.1317671210041786E-3</v>
      </c>
      <c r="Z27">
        <v>1.128784785661965E-3</v>
      </c>
      <c r="AA27">
        <v>1.1332280210354486E-3</v>
      </c>
      <c r="AB27">
        <v>1.8562439927963014E-3</v>
      </c>
      <c r="AC27">
        <v>1.119722381288503E-3</v>
      </c>
      <c r="AD27">
        <v>1.1221459519146159E-3</v>
      </c>
      <c r="AE27">
        <v>1.1342649076551722E-3</v>
      </c>
      <c r="AF27">
        <v>1.1346955302868542E-3</v>
      </c>
      <c r="AG27">
        <v>1.1302726551107435E-3</v>
      </c>
      <c r="AH27">
        <v>1.135754172516161E-3</v>
      </c>
      <c r="AI27">
        <v>-4.8278324395263406E-6</v>
      </c>
      <c r="AJ27">
        <v>3.2660989171147528E-6</v>
      </c>
      <c r="AK27">
        <v>4.5509279659344728E-5</v>
      </c>
      <c r="AL27">
        <v>3.6953318228162178E-4</v>
      </c>
      <c r="AM27">
        <v>4.9692582610413167E-4</v>
      </c>
      <c r="AN27">
        <v>3.3098909990444036E-4</v>
      </c>
      <c r="AO27">
        <v>-1.1062673955857692E-3</v>
      </c>
    </row>
    <row r="28" spans="1:41" x14ac:dyDescent="0.2">
      <c r="A28" t="s">
        <v>90</v>
      </c>
      <c r="B28">
        <v>-0.14911585485528636</v>
      </c>
      <c r="C28">
        <v>1.1874643500096228E-5</v>
      </c>
      <c r="D28">
        <v>-5.1092866710576821E-6</v>
      </c>
      <c r="E28">
        <v>4.6359130243070365E-8</v>
      </c>
      <c r="F28">
        <v>-7.7707326132360911E-5</v>
      </c>
      <c r="G28">
        <v>-9.1359499856789265E-5</v>
      </c>
      <c r="H28">
        <v>-3.4479355623517199E-5</v>
      </c>
      <c r="I28">
        <v>9.3352120517519246E-5</v>
      </c>
      <c r="J28">
        <v>1.7798649508141921E-4</v>
      </c>
      <c r="K28">
        <v>2.0176648379970855E-4</v>
      </c>
      <c r="L28">
        <v>-3.4379119259668619E-5</v>
      </c>
      <c r="M28">
        <v>1.4099501174538747E-5</v>
      </c>
      <c r="N28">
        <v>3.2681018710547876E-6</v>
      </c>
      <c r="O28">
        <v>4.4828910533765463E-7</v>
      </c>
      <c r="P28">
        <v>1.691022130997001E-7</v>
      </c>
      <c r="Q28">
        <v>-2.605222214724787E-7</v>
      </c>
      <c r="R28">
        <v>3.8285429501208487E-6</v>
      </c>
      <c r="S28">
        <v>2.1599967874876892E-5</v>
      </c>
      <c r="T28">
        <v>5.1129125953643163E-6</v>
      </c>
      <c r="U28">
        <v>4.227836629477422E-5</v>
      </c>
      <c r="V28">
        <v>-3.2894448644721648E-5</v>
      </c>
      <c r="W28">
        <v>1.1370198167323454E-5</v>
      </c>
      <c r="X28">
        <v>1.1330792745698178E-3</v>
      </c>
      <c r="Y28">
        <v>1.1263613681826064E-3</v>
      </c>
      <c r="Z28">
        <v>1.1250334927132455E-3</v>
      </c>
      <c r="AA28">
        <v>1.1300525299616261E-3</v>
      </c>
      <c r="AB28">
        <v>1.119722381288503E-3</v>
      </c>
      <c r="AC28">
        <v>1.7270704264155477E-3</v>
      </c>
      <c r="AD28">
        <v>1.1187636104268135E-3</v>
      </c>
      <c r="AE28">
        <v>1.1300689308642246E-3</v>
      </c>
      <c r="AF28">
        <v>1.129614379006555E-3</v>
      </c>
      <c r="AG28">
        <v>1.1247888060060508E-3</v>
      </c>
      <c r="AH28">
        <v>1.1324808448483082E-3</v>
      </c>
      <c r="AI28">
        <v>-3.2991799210336348E-6</v>
      </c>
      <c r="AJ28">
        <v>-6.6147561126508447E-6</v>
      </c>
      <c r="AK28">
        <v>2.1899293781754757E-5</v>
      </c>
      <c r="AL28">
        <v>3.9641336640581744E-4</v>
      </c>
      <c r="AM28">
        <v>4.7870367423776179E-4</v>
      </c>
      <c r="AN28">
        <v>3.2291084179377692E-4</v>
      </c>
      <c r="AO28">
        <v>-1.1319240135644615E-3</v>
      </c>
    </row>
    <row r="29" spans="1:41" x14ac:dyDescent="0.2">
      <c r="A29" t="s">
        <v>91</v>
      </c>
      <c r="B29">
        <v>-0.10893080857936771</v>
      </c>
      <c r="C29">
        <v>1.6142468899966729E-5</v>
      </c>
      <c r="D29">
        <v>-3.1659571448336069E-6</v>
      </c>
      <c r="E29">
        <v>2.7457886918643988E-8</v>
      </c>
      <c r="F29">
        <v>-6.5781506896286229E-5</v>
      </c>
      <c r="G29">
        <v>-9.3680713415216724E-5</v>
      </c>
      <c r="H29">
        <v>-4.1195155869032038E-5</v>
      </c>
      <c r="I29">
        <v>1.0738083317780693E-4</v>
      </c>
      <c r="J29">
        <v>1.8726726421346672E-4</v>
      </c>
      <c r="K29">
        <v>2.0478696991341281E-4</v>
      </c>
      <c r="L29">
        <v>1.0339472736419492E-5</v>
      </c>
      <c r="M29">
        <v>1.3223559615890932E-5</v>
      </c>
      <c r="N29">
        <v>1.2459299904761111E-5</v>
      </c>
      <c r="O29">
        <v>1.0552367431563213E-6</v>
      </c>
      <c r="P29">
        <v>7.9559954278078638E-8</v>
      </c>
      <c r="Q29">
        <v>2.2235757075913275E-7</v>
      </c>
      <c r="R29">
        <v>1.9299184412844026E-6</v>
      </c>
      <c r="S29">
        <v>2.2853697784807399E-5</v>
      </c>
      <c r="T29">
        <v>4.2017440841982135E-6</v>
      </c>
      <c r="U29">
        <v>5.0246663813231264E-7</v>
      </c>
      <c r="V29">
        <v>-3.6691157682050459E-5</v>
      </c>
      <c r="W29">
        <v>2.7415371564942193E-5</v>
      </c>
      <c r="X29">
        <v>1.1353302464221697E-3</v>
      </c>
      <c r="Y29">
        <v>1.128808877450942E-3</v>
      </c>
      <c r="Z29">
        <v>1.1257472987361646E-3</v>
      </c>
      <c r="AA29">
        <v>1.1308227916388431E-3</v>
      </c>
      <c r="AB29">
        <v>1.1221459519146159E-3</v>
      </c>
      <c r="AC29">
        <v>1.1187636104268135E-3</v>
      </c>
      <c r="AD29">
        <v>1.5970971760975478E-3</v>
      </c>
      <c r="AE29">
        <v>1.1336176289052438E-3</v>
      </c>
      <c r="AF29">
        <v>1.1309350090959844E-3</v>
      </c>
      <c r="AG29">
        <v>1.1270314171608073E-3</v>
      </c>
      <c r="AH29">
        <v>1.13222108165019E-3</v>
      </c>
      <c r="AI29">
        <v>-1.6886888414152114E-6</v>
      </c>
      <c r="AJ29">
        <v>-2.2592837029509089E-6</v>
      </c>
      <c r="AK29">
        <v>2.5620058349093232E-5</v>
      </c>
      <c r="AL29">
        <v>3.6713959326615641E-4</v>
      </c>
      <c r="AM29">
        <v>4.8115201399079148E-4</v>
      </c>
      <c r="AN29">
        <v>2.9673388874710166E-4</v>
      </c>
      <c r="AO29">
        <v>-1.2376483917921355E-3</v>
      </c>
    </row>
    <row r="30" spans="1:41" x14ac:dyDescent="0.2">
      <c r="A30" t="s">
        <v>92</v>
      </c>
      <c r="B30">
        <v>-0.14854631438601457</v>
      </c>
      <c r="C30">
        <v>2.2728646105072618E-5</v>
      </c>
      <c r="D30">
        <v>-4.9647682654307669E-6</v>
      </c>
      <c r="E30">
        <v>4.2914148243829356E-8</v>
      </c>
      <c r="F30">
        <v>-6.1918233520879065E-5</v>
      </c>
      <c r="G30">
        <v>-8.6507548285387134E-5</v>
      </c>
      <c r="H30">
        <v>-3.7417058151895284E-5</v>
      </c>
      <c r="I30">
        <v>2.268007164714838E-4</v>
      </c>
      <c r="J30">
        <v>3.1430190166187658E-4</v>
      </c>
      <c r="K30">
        <v>3.2140993383460419E-4</v>
      </c>
      <c r="L30">
        <v>-5.0954988123933995E-6</v>
      </c>
      <c r="M30">
        <v>2.1323494472846253E-5</v>
      </c>
      <c r="N30">
        <v>3.2324593594835311E-5</v>
      </c>
      <c r="O30">
        <v>1.1588138208048384E-6</v>
      </c>
      <c r="P30">
        <v>-1.153142008677008E-7</v>
      </c>
      <c r="Q30">
        <v>1.9952754419343048E-6</v>
      </c>
      <c r="R30">
        <v>1.7934340091561959E-6</v>
      </c>
      <c r="S30">
        <v>3.852293811282357E-5</v>
      </c>
      <c r="T30">
        <v>1.9993068742411594E-6</v>
      </c>
      <c r="U30">
        <v>-1.5976618135774348E-5</v>
      </c>
      <c r="V30">
        <v>-3.2854031895264554E-5</v>
      </c>
      <c r="W30">
        <v>2.2847682324746949E-5</v>
      </c>
      <c r="X30">
        <v>1.1491409810139603E-3</v>
      </c>
      <c r="Y30">
        <v>1.14117356260441E-3</v>
      </c>
      <c r="Z30">
        <v>1.1382163653080907E-3</v>
      </c>
      <c r="AA30">
        <v>1.1426074833789383E-3</v>
      </c>
      <c r="AB30">
        <v>1.1342649076551722E-3</v>
      </c>
      <c r="AC30">
        <v>1.1300689308642246E-3</v>
      </c>
      <c r="AD30">
        <v>1.1336176289052438E-3</v>
      </c>
      <c r="AE30">
        <v>1.7062808417355438E-3</v>
      </c>
      <c r="AF30">
        <v>1.1468753358039323E-3</v>
      </c>
      <c r="AG30">
        <v>1.1401448542370976E-3</v>
      </c>
      <c r="AH30">
        <v>1.1454033344151034E-3</v>
      </c>
      <c r="AI30">
        <v>-3.3981717776022171E-6</v>
      </c>
      <c r="AJ30">
        <v>-3.7204704097831327E-6</v>
      </c>
      <c r="AK30">
        <v>2.0832196209951857E-5</v>
      </c>
      <c r="AL30">
        <v>4.2253550060983628E-4</v>
      </c>
      <c r="AM30">
        <v>5.436184161484686E-4</v>
      </c>
      <c r="AN30">
        <v>3.4155346686439521E-4</v>
      </c>
      <c r="AO30">
        <v>-1.295449601815683E-3</v>
      </c>
    </row>
    <row r="31" spans="1:41" x14ac:dyDescent="0.2">
      <c r="A31" t="s">
        <v>93</v>
      </c>
      <c r="B31">
        <v>-8.1263474315257614E-2</v>
      </c>
      <c r="C31">
        <v>1.2915045659232533E-5</v>
      </c>
      <c r="D31">
        <v>-6.0373100581616508E-6</v>
      </c>
      <c r="E31">
        <v>5.6489972461719621E-8</v>
      </c>
      <c r="F31">
        <v>-1.0445969460900952E-4</v>
      </c>
      <c r="G31">
        <v>-1.1363696075893191E-4</v>
      </c>
      <c r="H31">
        <v>-5.1274400063132386E-5</v>
      </c>
      <c r="I31">
        <v>1.9196768909471133E-4</v>
      </c>
      <c r="J31">
        <v>3.3736866050072464E-4</v>
      </c>
      <c r="K31">
        <v>2.6629739082903274E-4</v>
      </c>
      <c r="L31">
        <v>-5.7782997464766203E-6</v>
      </c>
      <c r="M31">
        <v>2.3545036581654134E-5</v>
      </c>
      <c r="N31">
        <v>3.5356182515562402E-5</v>
      </c>
      <c r="O31">
        <v>1.5080568001178045E-6</v>
      </c>
      <c r="P31">
        <v>5.616785708063195E-7</v>
      </c>
      <c r="Q31">
        <v>1.6453882928226238E-6</v>
      </c>
      <c r="R31">
        <v>5.1088331275677066E-6</v>
      </c>
      <c r="S31">
        <v>3.3840850845652439E-5</v>
      </c>
      <c r="T31">
        <v>1.3266782062210556E-6</v>
      </c>
      <c r="U31">
        <v>-1.3400756878698822E-5</v>
      </c>
      <c r="V31">
        <v>-3.4530244127129221E-5</v>
      </c>
      <c r="W31">
        <v>1.0464264032597774E-5</v>
      </c>
      <c r="X31">
        <v>1.1516990394320069E-3</v>
      </c>
      <c r="Y31">
        <v>1.14372917887668E-3</v>
      </c>
      <c r="Z31">
        <v>1.1397015606893113E-3</v>
      </c>
      <c r="AA31">
        <v>1.1435046553021271E-3</v>
      </c>
      <c r="AB31">
        <v>1.1346955302868542E-3</v>
      </c>
      <c r="AC31">
        <v>1.129614379006555E-3</v>
      </c>
      <c r="AD31">
        <v>1.1309350090959844E-3</v>
      </c>
      <c r="AE31">
        <v>1.1468753358039323E-3</v>
      </c>
      <c r="AF31">
        <v>2.2702565606735271E-3</v>
      </c>
      <c r="AG31">
        <v>1.1394727858595657E-3</v>
      </c>
      <c r="AH31">
        <v>1.1491473315573273E-3</v>
      </c>
      <c r="AI31">
        <v>4.4304109285705866E-7</v>
      </c>
      <c r="AJ31">
        <v>-6.775870515839699E-6</v>
      </c>
      <c r="AK31">
        <v>-4.0623744685234261E-6</v>
      </c>
      <c r="AL31">
        <v>3.7810053284442389E-4</v>
      </c>
      <c r="AM31">
        <v>5.4260129251521678E-4</v>
      </c>
      <c r="AN31">
        <v>3.7882962497153613E-4</v>
      </c>
      <c r="AO31">
        <v>-1.3378075781577867E-3</v>
      </c>
    </row>
    <row r="32" spans="1:41" x14ac:dyDescent="0.2">
      <c r="A32" t="s">
        <v>94</v>
      </c>
      <c r="B32">
        <v>2.6831220403723262E-3</v>
      </c>
      <c r="C32">
        <v>7.5711528575842554E-6</v>
      </c>
      <c r="D32">
        <v>-6.8125984838252713E-6</v>
      </c>
      <c r="E32">
        <v>6.1104704218212471E-8</v>
      </c>
      <c r="F32">
        <v>-5.6450286301716265E-5</v>
      </c>
      <c r="G32">
        <v>-9.0186502934818703E-5</v>
      </c>
      <c r="H32">
        <v>-5.621868371175065E-5</v>
      </c>
      <c r="I32">
        <v>6.3460905059306572E-5</v>
      </c>
      <c r="J32">
        <v>1.7265417599721892E-4</v>
      </c>
      <c r="K32">
        <v>1.7954093011214155E-4</v>
      </c>
      <c r="L32">
        <v>-1.7236252284103719E-5</v>
      </c>
      <c r="M32">
        <v>1.7991397734547199E-6</v>
      </c>
      <c r="N32">
        <v>-2.5647707346146778E-5</v>
      </c>
      <c r="O32">
        <v>1.0847780282112421E-6</v>
      </c>
      <c r="P32">
        <v>-1.381625180368743E-7</v>
      </c>
      <c r="Q32">
        <v>1.8468786782025849E-6</v>
      </c>
      <c r="R32">
        <v>3.7157442196063912E-6</v>
      </c>
      <c r="S32">
        <v>2.1868524564750986E-5</v>
      </c>
      <c r="T32">
        <v>4.1685128356868108E-6</v>
      </c>
      <c r="U32">
        <v>1.7630805351213051E-5</v>
      </c>
      <c r="V32">
        <v>-3.6502673171911738E-5</v>
      </c>
      <c r="W32">
        <v>9.1364941528448117E-6</v>
      </c>
      <c r="X32">
        <v>1.1433089043846039E-3</v>
      </c>
      <c r="Y32">
        <v>1.1362500912167803E-3</v>
      </c>
      <c r="Z32">
        <v>1.1336446885798438E-3</v>
      </c>
      <c r="AA32">
        <v>1.1369669078199829E-3</v>
      </c>
      <c r="AB32">
        <v>1.1302726551107435E-3</v>
      </c>
      <c r="AC32">
        <v>1.1247888060060508E-3</v>
      </c>
      <c r="AD32">
        <v>1.1270314171608073E-3</v>
      </c>
      <c r="AE32">
        <v>1.1401448542370976E-3</v>
      </c>
      <c r="AF32">
        <v>1.1394727858595657E-3</v>
      </c>
      <c r="AG32">
        <v>1.8473262500759884E-3</v>
      </c>
      <c r="AH32">
        <v>1.1463240001488234E-3</v>
      </c>
      <c r="AI32">
        <v>-2.1930190057368825E-6</v>
      </c>
      <c r="AJ32">
        <v>-5.7554829926780536E-6</v>
      </c>
      <c r="AK32">
        <v>4.5159653514561008E-6</v>
      </c>
      <c r="AL32">
        <v>4.2654738703461073E-4</v>
      </c>
      <c r="AM32">
        <v>5.5095564199611989E-4</v>
      </c>
      <c r="AN32">
        <v>3.7110085179700535E-4</v>
      </c>
      <c r="AO32">
        <v>-1.1188034045820621E-3</v>
      </c>
    </row>
    <row r="33" spans="1:41" x14ac:dyDescent="0.2">
      <c r="A33" t="s">
        <v>95</v>
      </c>
      <c r="B33">
        <v>-1.9581736500479587E-2</v>
      </c>
      <c r="C33">
        <v>8.6239034804502053E-6</v>
      </c>
      <c r="D33">
        <v>-9.7534714811479462E-6</v>
      </c>
      <c r="E33">
        <v>8.7532918381686374E-8</v>
      </c>
      <c r="F33">
        <v>-6.4224457504698934E-5</v>
      </c>
      <c r="G33">
        <v>-6.7365203137140575E-5</v>
      </c>
      <c r="H33">
        <v>-3.7064297590629069E-5</v>
      </c>
      <c r="I33">
        <v>1.8134928811840839E-4</v>
      </c>
      <c r="J33">
        <v>2.2489409572255814E-4</v>
      </c>
      <c r="K33">
        <v>2.8241408743335736E-4</v>
      </c>
      <c r="L33">
        <v>-2.1328672572434632E-5</v>
      </c>
      <c r="M33">
        <v>-2.6324054721312213E-5</v>
      </c>
      <c r="N33">
        <v>-1.3492362165108598E-6</v>
      </c>
      <c r="O33">
        <v>2.0404636600751107E-6</v>
      </c>
      <c r="P33">
        <v>-5.9766201945013849E-7</v>
      </c>
      <c r="Q33">
        <v>7.0368485019078124E-6</v>
      </c>
      <c r="R33">
        <v>7.9785047095769514E-6</v>
      </c>
      <c r="S33">
        <v>3.1396407090419041E-5</v>
      </c>
      <c r="T33">
        <v>4.4802358807886949E-6</v>
      </c>
      <c r="U33">
        <v>-9.9054433084500015E-6</v>
      </c>
      <c r="V33">
        <v>-4.585399464575291E-5</v>
      </c>
      <c r="W33">
        <v>4.9058344433287329E-6</v>
      </c>
      <c r="X33">
        <v>1.1560887774705105E-3</v>
      </c>
      <c r="Y33">
        <v>1.1430395724950355E-3</v>
      </c>
      <c r="Z33">
        <v>1.1415876819038295E-3</v>
      </c>
      <c r="AA33">
        <v>1.1468070861799576E-3</v>
      </c>
      <c r="AB33">
        <v>1.135754172516161E-3</v>
      </c>
      <c r="AC33">
        <v>1.1324808448483082E-3</v>
      </c>
      <c r="AD33">
        <v>1.13222108165019E-3</v>
      </c>
      <c r="AE33">
        <v>1.1454033344151034E-3</v>
      </c>
      <c r="AF33">
        <v>1.1491473315573273E-3</v>
      </c>
      <c r="AG33">
        <v>1.1463240001488234E-3</v>
      </c>
      <c r="AH33">
        <v>2.7542417048080081E-3</v>
      </c>
      <c r="AI33">
        <v>-5.4745436076379981E-6</v>
      </c>
      <c r="AJ33">
        <v>-1.4132952194220545E-5</v>
      </c>
      <c r="AK33">
        <v>-1.2625564627355391E-6</v>
      </c>
      <c r="AL33">
        <v>4.6270246448736996E-4</v>
      </c>
      <c r="AM33">
        <v>6.1164284710345446E-4</v>
      </c>
      <c r="AN33">
        <v>3.4795162609043328E-4</v>
      </c>
      <c r="AO33">
        <v>-1.1505489000924194E-3</v>
      </c>
    </row>
    <row r="34" spans="1:41" x14ac:dyDescent="0.2">
      <c r="A34" t="s">
        <v>110</v>
      </c>
      <c r="B34">
        <v>1.6977879756804849E-2</v>
      </c>
      <c r="C34">
        <v>1.0854130183010383E-7</v>
      </c>
      <c r="D34">
        <v>4.8448156673070697E-7</v>
      </c>
      <c r="E34">
        <v>-5.5007975728825768E-9</v>
      </c>
      <c r="F34">
        <v>-1.4854888260884026E-6</v>
      </c>
      <c r="G34">
        <v>-5.2989705755771997E-6</v>
      </c>
      <c r="H34">
        <v>-6.0502644713118867E-6</v>
      </c>
      <c r="I34">
        <v>-5.0321260026324564E-6</v>
      </c>
      <c r="J34">
        <v>-4.8215257150902892E-7</v>
      </c>
      <c r="K34">
        <v>-6.0177306636490305E-6</v>
      </c>
      <c r="L34">
        <v>2.1577074690067716E-6</v>
      </c>
      <c r="M34">
        <v>1.1369720177394207E-6</v>
      </c>
      <c r="N34">
        <v>1.2914631081477215E-6</v>
      </c>
      <c r="O34">
        <v>-9.2098502222086748E-8</v>
      </c>
      <c r="P34">
        <v>1.0739338744568488E-7</v>
      </c>
      <c r="Q34">
        <v>-5.1425011715176214E-7</v>
      </c>
      <c r="R34">
        <v>-4.127493397227222E-7</v>
      </c>
      <c r="S34">
        <v>-6.3526554197650608E-7</v>
      </c>
      <c r="T34">
        <v>1.0029205517917309E-8</v>
      </c>
      <c r="U34">
        <v>-2.1012062278617316E-7</v>
      </c>
      <c r="V34">
        <v>-2.6117751414761211E-6</v>
      </c>
      <c r="W34">
        <v>6.7690004293703038E-7</v>
      </c>
      <c r="X34">
        <v>-2.4067483438491318E-6</v>
      </c>
      <c r="Y34">
        <v>-2.7841855979954743E-6</v>
      </c>
      <c r="Z34">
        <v>-5.6663899860715222E-6</v>
      </c>
      <c r="AA34">
        <v>-5.5831940987959727E-6</v>
      </c>
      <c r="AB34">
        <v>-4.8278324395263406E-6</v>
      </c>
      <c r="AC34">
        <v>-3.2991799210336348E-6</v>
      </c>
      <c r="AD34">
        <v>-1.6886888414152114E-6</v>
      </c>
      <c r="AE34">
        <v>-3.3981717776022171E-6</v>
      </c>
      <c r="AF34">
        <v>4.4304109285705866E-7</v>
      </c>
      <c r="AG34">
        <v>-2.1930190057368825E-6</v>
      </c>
      <c r="AH34">
        <v>-5.4745436076379981E-6</v>
      </c>
      <c r="AI34">
        <v>4.8750922355731593E-6</v>
      </c>
      <c r="AJ34">
        <v>-1.5279021856252025E-5</v>
      </c>
      <c r="AK34">
        <v>-1.811459691161325E-5</v>
      </c>
      <c r="AL34">
        <v>-9.9561568826720119E-7</v>
      </c>
      <c r="AM34">
        <v>-4.7607206478319855E-6</v>
      </c>
      <c r="AN34">
        <v>1.922568497213451E-6</v>
      </c>
      <c r="AO34">
        <v>-7.2298077309373792E-5</v>
      </c>
    </row>
    <row r="35" spans="1:41" x14ac:dyDescent="0.2">
      <c r="A35" t="s">
        <v>96</v>
      </c>
      <c r="B35">
        <v>-8.3125609798675365E-2</v>
      </c>
      <c r="C35">
        <v>4.1534306063924339E-6</v>
      </c>
      <c r="D35">
        <v>-9.5270188661278224E-8</v>
      </c>
      <c r="E35">
        <v>-1.2744289208597892E-9</v>
      </c>
      <c r="F35">
        <v>6.7055717894538847E-5</v>
      </c>
      <c r="G35">
        <v>7.433560209096717E-5</v>
      </c>
      <c r="H35">
        <v>6.1557070383110426E-5</v>
      </c>
      <c r="I35">
        <v>3.3201256882959629E-5</v>
      </c>
      <c r="J35">
        <v>1.0343884957721258E-5</v>
      </c>
      <c r="K35">
        <v>3.5348334600119897E-5</v>
      </c>
      <c r="L35">
        <v>-9.3919995001923674E-6</v>
      </c>
      <c r="M35">
        <v>2.5309673873697116E-6</v>
      </c>
      <c r="N35">
        <v>-7.7214980168278257E-6</v>
      </c>
      <c r="O35">
        <v>4.1819625016350682E-7</v>
      </c>
      <c r="P35">
        <v>6.8130810537430747E-7</v>
      </c>
      <c r="Q35">
        <v>9.1814994879841418E-7</v>
      </c>
      <c r="R35">
        <v>-3.0026586103652157E-6</v>
      </c>
      <c r="S35">
        <v>3.2842986229008258E-6</v>
      </c>
      <c r="T35">
        <v>8.102493675527444E-7</v>
      </c>
      <c r="U35">
        <v>5.9819515368537415E-5</v>
      </c>
      <c r="V35">
        <v>-3.2347853464829578E-6</v>
      </c>
      <c r="W35">
        <v>1.1983035947649971E-5</v>
      </c>
      <c r="X35">
        <v>7.4472301365781683E-6</v>
      </c>
      <c r="Y35">
        <v>5.7781813867932786E-6</v>
      </c>
      <c r="Z35">
        <v>2.3340163107962592E-5</v>
      </c>
      <c r="AA35">
        <v>-2.2579550650676967E-6</v>
      </c>
      <c r="AB35">
        <v>3.2660989171147528E-6</v>
      </c>
      <c r="AC35">
        <v>-6.6147561126508447E-6</v>
      </c>
      <c r="AD35">
        <v>-2.2592837029509089E-6</v>
      </c>
      <c r="AE35">
        <v>-3.7204704097831327E-6</v>
      </c>
      <c r="AF35">
        <v>-6.775870515839699E-6</v>
      </c>
      <c r="AG35">
        <v>-5.7554829926780536E-6</v>
      </c>
      <c r="AH35">
        <v>-1.4132952194220545E-5</v>
      </c>
      <c r="AI35">
        <v>-1.5279021856252025E-5</v>
      </c>
      <c r="AJ35">
        <v>5.8976015378155817E-4</v>
      </c>
      <c r="AK35">
        <v>1.2299342540736741E-4</v>
      </c>
      <c r="AL35">
        <v>-2.6994380620150407E-5</v>
      </c>
      <c r="AM35">
        <v>-2.2924659389079281E-5</v>
      </c>
      <c r="AN35">
        <v>-3.0082950080975536E-5</v>
      </c>
      <c r="AO35">
        <v>7.6580544664413955E-5</v>
      </c>
    </row>
    <row r="36" spans="1:41" x14ac:dyDescent="0.2">
      <c r="A36" t="s">
        <v>97</v>
      </c>
      <c r="B36">
        <v>-7.4900610522600955E-2</v>
      </c>
      <c r="C36">
        <v>4.9309225921811408E-6</v>
      </c>
      <c r="D36">
        <v>-1.7455649897628106E-6</v>
      </c>
      <c r="E36">
        <v>9.4669184645911477E-9</v>
      </c>
      <c r="F36">
        <v>9.6333179018174078E-5</v>
      </c>
      <c r="G36">
        <v>1.0104413822352833E-4</v>
      </c>
      <c r="H36">
        <v>9.8870087648668305E-5</v>
      </c>
      <c r="I36">
        <v>2.0761590524447267E-5</v>
      </c>
      <c r="J36">
        <v>-3.1022375052359302E-5</v>
      </c>
      <c r="K36">
        <v>6.1836451937715559E-6</v>
      </c>
      <c r="L36">
        <v>-2.776728696372689E-5</v>
      </c>
      <c r="M36">
        <v>-1.4362917753677845E-5</v>
      </c>
      <c r="N36">
        <v>-3.5906920868642074E-5</v>
      </c>
      <c r="O36">
        <v>2.4097581512739454E-7</v>
      </c>
      <c r="P36">
        <v>-4.1046482608834026E-7</v>
      </c>
      <c r="Q36">
        <v>-1.0541777492214132E-6</v>
      </c>
      <c r="R36">
        <v>-9.4064923805438718E-7</v>
      </c>
      <c r="S36">
        <v>3.2311034194785712E-6</v>
      </c>
      <c r="T36">
        <v>-1.8790865562879178E-6</v>
      </c>
      <c r="U36">
        <v>8.8653273734352629E-6</v>
      </c>
      <c r="V36">
        <v>1.7587659597228012E-5</v>
      </c>
      <c r="W36">
        <v>-7.4965991660046706E-6</v>
      </c>
      <c r="X36">
        <v>4.1534465893141502E-5</v>
      </c>
      <c r="Y36">
        <v>3.0331697781817033E-5</v>
      </c>
      <c r="Z36">
        <v>3.2388485034232886E-5</v>
      </c>
      <c r="AA36">
        <v>2.0023492761219504E-5</v>
      </c>
      <c r="AB36">
        <v>4.5509279659344728E-5</v>
      </c>
      <c r="AC36">
        <v>2.1899293781754757E-5</v>
      </c>
      <c r="AD36">
        <v>2.5620058349093232E-5</v>
      </c>
      <c r="AE36">
        <v>2.0832196209951857E-5</v>
      </c>
      <c r="AF36">
        <v>-4.0623744685234261E-6</v>
      </c>
      <c r="AG36">
        <v>4.5159653514561008E-6</v>
      </c>
      <c r="AH36">
        <v>-1.2625564627355391E-6</v>
      </c>
      <c r="AI36">
        <v>-1.811459691161325E-5</v>
      </c>
      <c r="AJ36">
        <v>1.2299342540736741E-4</v>
      </c>
      <c r="AK36">
        <v>7.232332733723059E-4</v>
      </c>
      <c r="AL36">
        <v>-9.7279618260810578E-6</v>
      </c>
      <c r="AM36">
        <v>-8.4273207713309983E-6</v>
      </c>
      <c r="AN36">
        <v>-3.5516082868614121E-5</v>
      </c>
      <c r="AO36">
        <v>2.302295572448852E-4</v>
      </c>
    </row>
    <row r="37" spans="1:41" x14ac:dyDescent="0.2">
      <c r="A37" t="s">
        <v>98</v>
      </c>
      <c r="B37">
        <v>0.42421748586964231</v>
      </c>
      <c r="C37">
        <v>2.4327964306611056E-6</v>
      </c>
      <c r="D37">
        <v>-2.0428123118446117E-6</v>
      </c>
      <c r="E37">
        <v>4.115068999565661E-8</v>
      </c>
      <c r="F37">
        <v>4.0118647086596557E-6</v>
      </c>
      <c r="G37">
        <v>-3.8695228551152011E-7</v>
      </c>
      <c r="H37">
        <v>-5.0686912412312678E-5</v>
      </c>
      <c r="I37">
        <v>-2.3263993680180603E-5</v>
      </c>
      <c r="J37">
        <v>-4.0498897956217118E-5</v>
      </c>
      <c r="K37">
        <v>1.8802232961111394E-5</v>
      </c>
      <c r="L37">
        <v>-3.8154644868523423E-5</v>
      </c>
      <c r="M37">
        <v>-7.1004307677133933E-6</v>
      </c>
      <c r="N37">
        <v>2.1437156211301183E-5</v>
      </c>
      <c r="O37">
        <v>2.6824416518422467E-6</v>
      </c>
      <c r="P37">
        <v>3.0949798945497398E-7</v>
      </c>
      <c r="Q37">
        <v>4.3600975643540386E-6</v>
      </c>
      <c r="R37">
        <v>4.3602632495344985E-6</v>
      </c>
      <c r="S37">
        <v>1.5812283678252577E-6</v>
      </c>
      <c r="T37">
        <v>4.1565977843333987E-6</v>
      </c>
      <c r="U37">
        <v>1.4947334941173718E-5</v>
      </c>
      <c r="V37">
        <v>-3.4887030744446722E-5</v>
      </c>
      <c r="W37">
        <v>-4.7423909737649901E-6</v>
      </c>
      <c r="X37">
        <v>4.3167713099429798E-4</v>
      </c>
      <c r="Y37">
        <v>4.1651939614859934E-4</v>
      </c>
      <c r="Z37">
        <v>3.8107066925801403E-4</v>
      </c>
      <c r="AA37">
        <v>4.108427871946412E-4</v>
      </c>
      <c r="AB37">
        <v>3.6953318228162178E-4</v>
      </c>
      <c r="AC37">
        <v>3.9641336640581744E-4</v>
      </c>
      <c r="AD37">
        <v>3.6713959326615641E-4</v>
      </c>
      <c r="AE37">
        <v>4.2253550060983628E-4</v>
      </c>
      <c r="AF37">
        <v>3.7810053284442389E-4</v>
      </c>
      <c r="AG37">
        <v>4.2654738703461073E-4</v>
      </c>
      <c r="AH37">
        <v>4.6270246448736996E-4</v>
      </c>
      <c r="AI37">
        <v>-9.9561568826720119E-7</v>
      </c>
      <c r="AJ37">
        <v>-2.6994380620150407E-5</v>
      </c>
      <c r="AK37">
        <v>-9.7279618260810578E-6</v>
      </c>
      <c r="AL37">
        <v>2.9756311834703087E-3</v>
      </c>
      <c r="AM37">
        <v>2.831738528025649E-4</v>
      </c>
      <c r="AN37">
        <v>2.20791785564866E-4</v>
      </c>
      <c r="AO37">
        <v>-6.5668275529869838E-4</v>
      </c>
    </row>
    <row r="38" spans="1:41" x14ac:dyDescent="0.2">
      <c r="A38" t="s">
        <v>99</v>
      </c>
      <c r="B38">
        <v>0.15675956524938986</v>
      </c>
      <c r="C38">
        <v>2.4775076841498163E-5</v>
      </c>
      <c r="D38">
        <v>-1.36319102340477E-5</v>
      </c>
      <c r="E38">
        <v>1.0730884387499976E-7</v>
      </c>
      <c r="F38">
        <v>1.6953964599592409E-4</v>
      </c>
      <c r="G38">
        <v>1.8666665593358635E-4</v>
      </c>
      <c r="H38">
        <v>1.2098200736437859E-4</v>
      </c>
      <c r="I38">
        <v>-1.9083655146174931E-4</v>
      </c>
      <c r="J38">
        <v>4.6673867946283969E-5</v>
      </c>
      <c r="K38">
        <v>1.2438655456720356E-4</v>
      </c>
      <c r="L38">
        <v>1.63493377009333E-5</v>
      </c>
      <c r="M38">
        <v>-4.9803772803065909E-5</v>
      </c>
      <c r="N38">
        <v>-2.3346176406656947E-4</v>
      </c>
      <c r="O38">
        <v>6.5865566828934207E-7</v>
      </c>
      <c r="P38">
        <v>-1.347337930095015E-6</v>
      </c>
      <c r="Q38">
        <v>7.5876166278279208E-6</v>
      </c>
      <c r="R38">
        <v>8.527376041191895E-6</v>
      </c>
      <c r="S38">
        <v>6.381169200889809E-6</v>
      </c>
      <c r="T38">
        <v>3.3731538269513224E-7</v>
      </c>
      <c r="U38">
        <v>2.0260676060124619E-4</v>
      </c>
      <c r="V38">
        <v>3.7464520575365874E-8</v>
      </c>
      <c r="W38">
        <v>-2.2093305674109024E-5</v>
      </c>
      <c r="X38">
        <v>5.6211412798343185E-4</v>
      </c>
      <c r="Y38">
        <v>5.1452808297745389E-4</v>
      </c>
      <c r="Z38">
        <v>5.3615272452121388E-4</v>
      </c>
      <c r="AA38">
        <v>5.2694404692267191E-4</v>
      </c>
      <c r="AB38">
        <v>4.9692582610413167E-4</v>
      </c>
      <c r="AC38">
        <v>4.7870367423776179E-4</v>
      </c>
      <c r="AD38">
        <v>4.8115201399079148E-4</v>
      </c>
      <c r="AE38">
        <v>5.436184161484686E-4</v>
      </c>
      <c r="AF38">
        <v>5.4260129251521678E-4</v>
      </c>
      <c r="AG38">
        <v>5.5095564199611989E-4</v>
      </c>
      <c r="AH38">
        <v>6.1164284710345446E-4</v>
      </c>
      <c r="AI38">
        <v>-4.7607206478319855E-6</v>
      </c>
      <c r="AJ38">
        <v>-2.2924659389079281E-5</v>
      </c>
      <c r="AK38">
        <v>-8.4273207713309983E-6</v>
      </c>
      <c r="AL38">
        <v>2.831738528025649E-4</v>
      </c>
      <c r="AM38">
        <v>9.2226624144372098E-3</v>
      </c>
      <c r="AN38">
        <v>2.4641108040844855E-4</v>
      </c>
      <c r="AO38">
        <v>-3.4083579067450032E-4</v>
      </c>
    </row>
    <row r="39" spans="1:41" x14ac:dyDescent="0.2">
      <c r="A39" t="s">
        <v>100</v>
      </c>
      <c r="B39">
        <v>0.26976762280753652</v>
      </c>
      <c r="C39">
        <v>-6.7757699539366873E-6</v>
      </c>
      <c r="D39">
        <v>-4.127325794017562E-7</v>
      </c>
      <c r="E39">
        <v>1.7996219636709046E-8</v>
      </c>
      <c r="F39">
        <v>-3.5063769553464328E-4</v>
      </c>
      <c r="G39">
        <v>-3.5214723969328543E-4</v>
      </c>
      <c r="H39">
        <v>-3.7352656736071386E-4</v>
      </c>
      <c r="I39">
        <v>-1.3093939761292972E-4</v>
      </c>
      <c r="J39">
        <v>9.3843159362718499E-5</v>
      </c>
      <c r="K39">
        <v>1.3694421669641825E-4</v>
      </c>
      <c r="L39">
        <v>-3.6571821871233646E-7</v>
      </c>
      <c r="M39">
        <v>8.0467284849251564E-6</v>
      </c>
      <c r="N39">
        <v>2.1494953727485006E-5</v>
      </c>
      <c r="O39">
        <v>3.321832747277424E-7</v>
      </c>
      <c r="P39">
        <v>-2.8911255497857073E-7</v>
      </c>
      <c r="Q39">
        <v>2.3418804342708006E-6</v>
      </c>
      <c r="R39">
        <v>-1.351941226906988E-6</v>
      </c>
      <c r="S39">
        <v>9.1544779204155066E-6</v>
      </c>
      <c r="T39">
        <v>5.5980648424807386E-6</v>
      </c>
      <c r="U39">
        <v>-1.0687572921081777E-4</v>
      </c>
      <c r="V39">
        <v>-4.5810806777510992E-5</v>
      </c>
      <c r="W39">
        <v>1.3576098416118347E-5</v>
      </c>
      <c r="X39">
        <v>3.6870726973792272E-4</v>
      </c>
      <c r="Y39">
        <v>3.706786470324498E-4</v>
      </c>
      <c r="Z39">
        <v>3.1653769657158257E-4</v>
      </c>
      <c r="AA39">
        <v>3.6168256872783712E-4</v>
      </c>
      <c r="AB39">
        <v>3.3098909990444036E-4</v>
      </c>
      <c r="AC39">
        <v>3.2291084179377692E-4</v>
      </c>
      <c r="AD39">
        <v>2.9673388874710166E-4</v>
      </c>
      <c r="AE39">
        <v>3.4155346686439521E-4</v>
      </c>
      <c r="AF39">
        <v>3.7882962497153613E-4</v>
      </c>
      <c r="AG39">
        <v>3.7110085179700535E-4</v>
      </c>
      <c r="AH39">
        <v>3.4795162609043328E-4</v>
      </c>
      <c r="AI39">
        <v>1.922568497213451E-6</v>
      </c>
      <c r="AJ39">
        <v>-3.0082950080975536E-5</v>
      </c>
      <c r="AK39">
        <v>-3.5516082868614121E-5</v>
      </c>
      <c r="AL39">
        <v>2.20791785564866E-4</v>
      </c>
      <c r="AM39">
        <v>2.4641108040844855E-4</v>
      </c>
      <c r="AN39">
        <v>6.5546988300630915E-3</v>
      </c>
      <c r="AO39">
        <v>-2.3865029967721249E-4</v>
      </c>
    </row>
    <row r="40" spans="1:41" x14ac:dyDescent="0.2">
      <c r="A40" t="s">
        <v>47</v>
      </c>
      <c r="B40">
        <v>2.0575396902416117</v>
      </c>
      <c r="C40">
        <v>1.8831703731628707E-4</v>
      </c>
      <c r="D40">
        <v>-2.2338121810827437E-4</v>
      </c>
      <c r="E40">
        <v>1.7124248282799338E-6</v>
      </c>
      <c r="F40">
        <v>-1.033314883962384E-2</v>
      </c>
      <c r="G40">
        <v>-1.0189412229980774E-2</v>
      </c>
      <c r="H40">
        <v>-9.9325765167438042E-3</v>
      </c>
      <c r="I40">
        <v>-1.7683390600083119E-2</v>
      </c>
      <c r="J40">
        <v>-1.200318500805065E-2</v>
      </c>
      <c r="K40">
        <v>-1.138998631884528E-2</v>
      </c>
      <c r="L40">
        <v>-5.3264471876781933E-4</v>
      </c>
      <c r="M40">
        <v>-5.4347503703197197E-4</v>
      </c>
      <c r="N40">
        <v>-1.6351911539396748E-3</v>
      </c>
      <c r="O40">
        <v>-3.4412328805175546E-5</v>
      </c>
      <c r="P40">
        <v>-3.9414064892485075E-5</v>
      </c>
      <c r="Q40">
        <v>3.9048960126314834E-5</v>
      </c>
      <c r="R40">
        <v>2.36790758810065E-5</v>
      </c>
      <c r="S40">
        <v>-1.4532553599230166E-3</v>
      </c>
      <c r="T40">
        <v>4.3550605794280104E-5</v>
      </c>
      <c r="U40">
        <v>-6.1314241443473569E-3</v>
      </c>
      <c r="V40">
        <v>-1.8628682513090414E-4</v>
      </c>
      <c r="W40">
        <v>-2.5793828263082801E-4</v>
      </c>
      <c r="X40">
        <v>-1.324992300458565E-3</v>
      </c>
      <c r="Y40">
        <v>-1.1676906596609343E-3</v>
      </c>
      <c r="Z40">
        <v>-1.2297016688983676E-3</v>
      </c>
      <c r="AA40">
        <v>-1.2379771050405211E-3</v>
      </c>
      <c r="AB40">
        <v>-1.1062673955857692E-3</v>
      </c>
      <c r="AC40">
        <v>-1.1319240135644615E-3</v>
      </c>
      <c r="AD40">
        <v>-1.2376483917921355E-3</v>
      </c>
      <c r="AE40">
        <v>-1.295449601815683E-3</v>
      </c>
      <c r="AF40">
        <v>-1.3378075781577867E-3</v>
      </c>
      <c r="AG40">
        <v>-1.1188034045820621E-3</v>
      </c>
      <c r="AH40">
        <v>-1.1505489000924194E-3</v>
      </c>
      <c r="AI40">
        <v>-7.2298077309373792E-5</v>
      </c>
      <c r="AJ40">
        <v>7.6580544664413955E-5</v>
      </c>
      <c r="AK40">
        <v>2.302295572448852E-4</v>
      </c>
      <c r="AL40">
        <v>-6.5668275529869838E-4</v>
      </c>
      <c r="AM40">
        <v>-3.4083579067450032E-4</v>
      </c>
      <c r="AN40">
        <v>-2.3865029967721249E-4</v>
      </c>
      <c r="AO40">
        <v>3.4450404722713934E-2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E30"/>
  <sheetViews>
    <sheetView workbookViewId="0">
      <selection activeCell="A26" sqref="A26"/>
    </sheetView>
  </sheetViews>
  <sheetFormatPr baseColWidth="10" defaultColWidth="8.83203125" defaultRowHeight="15" x14ac:dyDescent="0.2"/>
  <sheetData>
    <row r="1" spans="1:31" x14ac:dyDescent="0.2">
      <c r="A1" t="s">
        <v>19</v>
      </c>
      <c r="B1" t="s">
        <v>20</v>
      </c>
      <c r="C1" t="s">
        <v>66</v>
      </c>
      <c r="D1" t="s">
        <v>67</v>
      </c>
      <c r="E1" t="s">
        <v>101</v>
      </c>
      <c r="F1" t="s">
        <v>102</v>
      </c>
      <c r="G1" t="s">
        <v>83</v>
      </c>
      <c r="H1" t="s">
        <v>84</v>
      </c>
      <c r="I1" t="s">
        <v>107</v>
      </c>
      <c r="J1" t="s">
        <v>69</v>
      </c>
      <c r="K1" t="s">
        <v>70</v>
      </c>
      <c r="L1" t="s">
        <v>103</v>
      </c>
      <c r="M1" t="s">
        <v>104</v>
      </c>
      <c r="N1" t="s">
        <v>85</v>
      </c>
      <c r="O1" t="s">
        <v>86</v>
      </c>
      <c r="P1" t="s">
        <v>87</v>
      </c>
      <c r="Q1" t="s">
        <v>88</v>
      </c>
      <c r="R1" t="s">
        <v>89</v>
      </c>
      <c r="S1" t="s">
        <v>90</v>
      </c>
      <c r="T1" t="s">
        <v>91</v>
      </c>
      <c r="U1" t="s">
        <v>92</v>
      </c>
      <c r="V1" t="s">
        <v>93</v>
      </c>
      <c r="W1" t="s">
        <v>94</v>
      </c>
      <c r="X1" t="s">
        <v>95</v>
      </c>
      <c r="Y1" t="s">
        <v>110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47</v>
      </c>
    </row>
    <row r="2" spans="1:31" x14ac:dyDescent="0.2">
      <c r="A2" t="s">
        <v>66</v>
      </c>
      <c r="B2">
        <v>0.26086921258588752</v>
      </c>
      <c r="C2">
        <v>2.8796859198476708E-4</v>
      </c>
      <c r="D2">
        <v>-2.4019675904494806E-6</v>
      </c>
      <c r="E2">
        <v>2.7190270031624532E-5</v>
      </c>
      <c r="F2">
        <v>2.0446062654883337E-5</v>
      </c>
      <c r="G2">
        <v>-4.4027172623051382E-5</v>
      </c>
      <c r="H2">
        <v>9.8669526683066544E-5</v>
      </c>
      <c r="I2">
        <v>4.6108003624667162E-5</v>
      </c>
      <c r="J2">
        <v>-3.9199334894991444E-7</v>
      </c>
      <c r="K2">
        <v>-1.4853042843456696E-7</v>
      </c>
      <c r="L2">
        <v>-2.2752548409611321E-5</v>
      </c>
      <c r="M2">
        <v>-6.7636611509754999E-6</v>
      </c>
      <c r="N2">
        <v>-3.2231897529309795E-5</v>
      </c>
      <c r="O2">
        <v>-1.4750395223643512E-5</v>
      </c>
      <c r="P2">
        <v>5.4361957509064377E-6</v>
      </c>
      <c r="Q2">
        <v>1.3791973410241664E-5</v>
      </c>
      <c r="R2">
        <v>-3.7300652165263923E-5</v>
      </c>
      <c r="S2">
        <v>-2.9787806080034296E-5</v>
      </c>
      <c r="T2">
        <v>7.1187079229147048E-6</v>
      </c>
      <c r="U2">
        <v>-1.6823096073129746E-5</v>
      </c>
      <c r="V2">
        <v>-6.1341065957509156E-6</v>
      </c>
      <c r="W2">
        <v>-1.0221752353654053E-5</v>
      </c>
      <c r="X2">
        <v>-2.2769174269358714E-5</v>
      </c>
      <c r="Y2">
        <v>3.0641070639164714E-6</v>
      </c>
      <c r="Z2">
        <v>1.0344346866934665E-5</v>
      </c>
      <c r="AA2">
        <v>9.9601563111846256E-6</v>
      </c>
      <c r="AB2">
        <v>-3.7640973150705857E-5</v>
      </c>
      <c r="AC2">
        <v>5.2110357712919833E-5</v>
      </c>
      <c r="AD2">
        <v>-2.0209367756971014E-5</v>
      </c>
      <c r="AE2">
        <v>1.5869599755379178E-4</v>
      </c>
    </row>
    <row r="3" spans="1:31" x14ac:dyDescent="0.2">
      <c r="A3" t="s">
        <v>67</v>
      </c>
      <c r="B3">
        <v>-1.0083303325763706E-2</v>
      </c>
      <c r="C3">
        <v>-2.4019675904494806E-6</v>
      </c>
      <c r="D3">
        <v>1.0525528343274457E-6</v>
      </c>
      <c r="E3">
        <v>5.2894092171866357E-6</v>
      </c>
      <c r="F3">
        <v>4.2229918957362766E-6</v>
      </c>
      <c r="G3">
        <v>6.2644790609195667E-6</v>
      </c>
      <c r="H3">
        <v>-4.5258153884638643E-6</v>
      </c>
      <c r="I3">
        <v>4.2419944348150271E-6</v>
      </c>
      <c r="J3">
        <v>1.3233797250060736E-7</v>
      </c>
      <c r="K3">
        <v>-3.6306398083807553E-8</v>
      </c>
      <c r="L3">
        <v>4.8024780535619319E-7</v>
      </c>
      <c r="M3">
        <v>-1.9976578769264495E-7</v>
      </c>
      <c r="N3">
        <v>3.7703181812624785E-6</v>
      </c>
      <c r="O3">
        <v>2.558055229903155E-6</v>
      </c>
      <c r="P3">
        <v>1.7452052597969025E-6</v>
      </c>
      <c r="Q3">
        <v>1.5439799595773883E-6</v>
      </c>
      <c r="R3">
        <v>1.8617369948937439E-6</v>
      </c>
      <c r="S3">
        <v>1.6749424179565847E-6</v>
      </c>
      <c r="T3">
        <v>1.4476082304653031E-6</v>
      </c>
      <c r="U3">
        <v>2.031302460181373E-6</v>
      </c>
      <c r="V3">
        <v>1.5061857482986279E-6</v>
      </c>
      <c r="W3">
        <v>2.1262057783788876E-6</v>
      </c>
      <c r="X3">
        <v>2.2020491432570266E-6</v>
      </c>
      <c r="Y3">
        <v>-4.533753258597011E-7</v>
      </c>
      <c r="Z3">
        <v>1.8725759645594578E-7</v>
      </c>
      <c r="AA3">
        <v>-4.6021122399666217E-7</v>
      </c>
      <c r="AB3">
        <v>2.4411877517796038E-6</v>
      </c>
      <c r="AC3">
        <v>2.1930898706038626E-6</v>
      </c>
      <c r="AD3">
        <v>2.2742758196056184E-6</v>
      </c>
      <c r="AE3">
        <v>-7.6796685351649172E-5</v>
      </c>
    </row>
    <row r="4" spans="1:31" x14ac:dyDescent="0.2">
      <c r="A4" t="s">
        <v>101</v>
      </c>
      <c r="B4">
        <v>0.62675370552987142</v>
      </c>
      <c r="C4">
        <v>2.7190270031624532E-5</v>
      </c>
      <c r="D4">
        <v>5.2894092171866357E-6</v>
      </c>
      <c r="E4">
        <v>5.95268307863698E-4</v>
      </c>
      <c r="F4">
        <v>3.0988547233585899E-4</v>
      </c>
      <c r="G4">
        <v>7.5555016499304135E-6</v>
      </c>
      <c r="H4">
        <v>4.6926162407641634E-5</v>
      </c>
      <c r="I4">
        <v>5.0330867294965068E-5</v>
      </c>
      <c r="J4">
        <v>-1.1004208616159935E-6</v>
      </c>
      <c r="K4">
        <v>-1.0285379045547882E-7</v>
      </c>
      <c r="L4">
        <v>-5.7110262701158746E-5</v>
      </c>
      <c r="M4">
        <v>-1.8635507780461992E-5</v>
      </c>
      <c r="N4">
        <v>-3.7940232357711284E-5</v>
      </c>
      <c r="O4">
        <v>-5.303991795529479E-6</v>
      </c>
      <c r="P4">
        <v>-3.9337543376772118E-5</v>
      </c>
      <c r="Q4">
        <v>-3.995990978709153E-5</v>
      </c>
      <c r="R4">
        <v>-2.020264371672365E-5</v>
      </c>
      <c r="S4">
        <v>-2.1113566848808411E-5</v>
      </c>
      <c r="T4">
        <v>8.1430608731816918E-6</v>
      </c>
      <c r="U4">
        <v>1.3637526423523715E-5</v>
      </c>
      <c r="V4">
        <v>2.677540598251864E-5</v>
      </c>
      <c r="W4">
        <v>-3.8851576109049502E-5</v>
      </c>
      <c r="X4">
        <v>-1.8466407007971945E-5</v>
      </c>
      <c r="Y4">
        <v>-6.3721009193150658E-6</v>
      </c>
      <c r="Z4">
        <v>2.1453540607813469E-5</v>
      </c>
      <c r="AA4">
        <v>-1.7834686937467567E-6</v>
      </c>
      <c r="AB4">
        <v>-9.1342548692129256E-5</v>
      </c>
      <c r="AC4">
        <v>8.6703168867657582E-5</v>
      </c>
      <c r="AD4">
        <v>-1.1550260095256312E-4</v>
      </c>
      <c r="AE4">
        <v>-9.0060308904033959E-6</v>
      </c>
    </row>
    <row r="5" spans="1:31" x14ac:dyDescent="0.2">
      <c r="A5" t="s">
        <v>102</v>
      </c>
      <c r="B5">
        <v>0.27465081983139028</v>
      </c>
      <c r="C5">
        <v>2.0446062654883337E-5</v>
      </c>
      <c r="D5">
        <v>4.2229918957362766E-6</v>
      </c>
      <c r="E5">
        <v>3.0988547233585899E-4</v>
      </c>
      <c r="F5">
        <v>4.1428073460838969E-4</v>
      </c>
      <c r="G5">
        <v>-2.0504962945299994E-5</v>
      </c>
      <c r="H5">
        <v>2.5541213747678267E-5</v>
      </c>
      <c r="I5">
        <v>-1.9114649359656412E-5</v>
      </c>
      <c r="J5">
        <v>-8.4338511629140014E-7</v>
      </c>
      <c r="K5">
        <v>-5.8395981331645305E-7</v>
      </c>
      <c r="L5">
        <v>-3.1115303563626699E-5</v>
      </c>
      <c r="M5">
        <v>-1.1742931653609095E-5</v>
      </c>
      <c r="N5">
        <v>-7.6564414072340646E-5</v>
      </c>
      <c r="O5">
        <v>-5.1039501716682696E-5</v>
      </c>
      <c r="P5">
        <v>-5.8214405097216712E-5</v>
      </c>
      <c r="Q5">
        <v>-6.0431453013001817E-5</v>
      </c>
      <c r="R5">
        <v>-4.6432842617371336E-5</v>
      </c>
      <c r="S5">
        <v>-6.0722566736033488E-5</v>
      </c>
      <c r="T5">
        <v>-5.5795218947233774E-5</v>
      </c>
      <c r="U5">
        <v>-4.9056674950393142E-5</v>
      </c>
      <c r="V5">
        <v>-5.9353184268546438E-5</v>
      </c>
      <c r="W5">
        <v>-8.4179073059012082E-5</v>
      </c>
      <c r="X5">
        <v>-4.9768091075991206E-5</v>
      </c>
      <c r="Y5">
        <v>-5.1757623352086284E-6</v>
      </c>
      <c r="Z5">
        <v>1.1339522930497306E-5</v>
      </c>
      <c r="AA5">
        <v>3.7964306455405653E-6</v>
      </c>
      <c r="AB5">
        <v>-2.1842701993846948E-5</v>
      </c>
      <c r="AC5">
        <v>-4.6155373236014341E-6</v>
      </c>
      <c r="AD5">
        <v>-8.8162745571051566E-5</v>
      </c>
      <c r="AE5">
        <v>-8.0648320571092571E-5</v>
      </c>
    </row>
    <row r="6" spans="1:31" x14ac:dyDescent="0.2">
      <c r="A6" t="s">
        <v>83</v>
      </c>
      <c r="B6">
        <v>4.6534826202767034E-2</v>
      </c>
      <c r="C6">
        <v>-4.4027172623051382E-5</v>
      </c>
      <c r="D6">
        <v>6.2644790609195667E-6</v>
      </c>
      <c r="E6">
        <v>7.5555016499304135E-6</v>
      </c>
      <c r="F6">
        <v>-2.0504962945299994E-5</v>
      </c>
      <c r="G6">
        <v>9.0140103186826057E-3</v>
      </c>
      <c r="H6">
        <v>4.6602198046185E-5</v>
      </c>
      <c r="I6">
        <v>2.4797010723483952E-4</v>
      </c>
      <c r="J6">
        <v>1.6639570936897942E-6</v>
      </c>
      <c r="K6">
        <v>-2.0451246510593515E-7</v>
      </c>
      <c r="L6">
        <v>2.3948355955313817E-5</v>
      </c>
      <c r="M6">
        <v>9.7326798074161508E-6</v>
      </c>
      <c r="N6">
        <v>1.9920116557474202E-4</v>
      </c>
      <c r="O6">
        <v>1.8814483720959549E-4</v>
      </c>
      <c r="P6">
        <v>1.6349445915697338E-4</v>
      </c>
      <c r="Q6">
        <v>9.432748698573923E-5</v>
      </c>
      <c r="R6">
        <v>3.2150918989780851E-4</v>
      </c>
      <c r="S6">
        <v>1.518822876946944E-4</v>
      </c>
      <c r="T6">
        <v>1.2509810968009549E-4</v>
      </c>
      <c r="U6">
        <v>1.6503522990124285E-4</v>
      </c>
      <c r="V6">
        <v>1.5361062008953852E-4</v>
      </c>
      <c r="W6">
        <v>1.4818915118444448E-4</v>
      </c>
      <c r="X6">
        <v>1.274238487372042E-4</v>
      </c>
      <c r="Y6">
        <v>-2.9645346299284162E-6</v>
      </c>
      <c r="Z6">
        <v>4.6195275154141476E-5</v>
      </c>
      <c r="AA6">
        <v>-2.9906268290784725E-5</v>
      </c>
      <c r="AB6">
        <v>-1.9853634743930803E-4</v>
      </c>
      <c r="AC6">
        <v>-8.6536497194289008E-5</v>
      </c>
      <c r="AD6">
        <v>1.0922263669792324E-4</v>
      </c>
      <c r="AE6">
        <v>-8.7994525724374782E-4</v>
      </c>
    </row>
    <row r="7" spans="1:31" x14ac:dyDescent="0.2">
      <c r="A7" t="s">
        <v>84</v>
      </c>
      <c r="B7">
        <v>1.3678858868432803E-2</v>
      </c>
      <c r="C7">
        <v>9.8669526683066544E-5</v>
      </c>
      <c r="D7">
        <v>-4.5258153884638643E-6</v>
      </c>
      <c r="E7">
        <v>4.6926162407641634E-5</v>
      </c>
      <c r="F7">
        <v>2.5541213747678267E-5</v>
      </c>
      <c r="G7">
        <v>4.6602198046185E-5</v>
      </c>
      <c r="H7">
        <v>3.1287358267777368E-4</v>
      </c>
      <c r="I7">
        <v>1.2170284929583033E-4</v>
      </c>
      <c r="J7">
        <v>5.3451833404796688E-7</v>
      </c>
      <c r="K7">
        <v>5.3259488898259599E-7</v>
      </c>
      <c r="L7">
        <v>-2.178880635567688E-6</v>
      </c>
      <c r="M7">
        <v>-9.9936253556386079E-9</v>
      </c>
      <c r="N7">
        <v>1.987170112027873E-5</v>
      </c>
      <c r="O7">
        <v>1.2512912718141224E-5</v>
      </c>
      <c r="P7">
        <v>4.42274738241441E-5</v>
      </c>
      <c r="Q7">
        <v>3.6672540816049771E-5</v>
      </c>
      <c r="R7">
        <v>1.6036758218033572E-5</v>
      </c>
      <c r="S7">
        <v>2.660194006213914E-5</v>
      </c>
      <c r="T7">
        <v>3.4621227400635478E-5</v>
      </c>
      <c r="U7">
        <v>1.7882683422045575E-5</v>
      </c>
      <c r="V7">
        <v>1.1124009972488307E-5</v>
      </c>
      <c r="W7">
        <v>7.3958329970213356E-6</v>
      </c>
      <c r="X7">
        <v>-1.2848278401765193E-6</v>
      </c>
      <c r="Y7">
        <v>1.6755995027678644E-6</v>
      </c>
      <c r="Z7">
        <v>9.1956299684649406E-6</v>
      </c>
      <c r="AA7">
        <v>9.1421768470898963E-6</v>
      </c>
      <c r="AB7">
        <v>1.7614117265546175E-5</v>
      </c>
      <c r="AC7">
        <v>-4.1056805061414161E-6</v>
      </c>
      <c r="AD7">
        <v>1.010171918349803E-5</v>
      </c>
      <c r="AE7">
        <v>5.5368629414233788E-5</v>
      </c>
    </row>
    <row r="8" spans="1:31" x14ac:dyDescent="0.2">
      <c r="A8" t="s">
        <v>107</v>
      </c>
      <c r="B8">
        <v>0.12488021874614558</v>
      </c>
      <c r="C8">
        <v>4.6108003624667162E-5</v>
      </c>
      <c r="D8">
        <v>4.2419944348150271E-6</v>
      </c>
      <c r="E8">
        <v>5.0330867294965068E-5</v>
      </c>
      <c r="F8">
        <v>-1.9114649359656412E-5</v>
      </c>
      <c r="G8">
        <v>2.4797010723483952E-4</v>
      </c>
      <c r="H8">
        <v>1.2170284929583033E-4</v>
      </c>
      <c r="I8">
        <v>1.1746536842317707E-2</v>
      </c>
      <c r="J8">
        <v>2.6276497747648212E-6</v>
      </c>
      <c r="K8">
        <v>1.1850028777013423E-6</v>
      </c>
      <c r="L8">
        <v>4.9387202019392771E-6</v>
      </c>
      <c r="M8">
        <v>6.0747616272993513E-6</v>
      </c>
      <c r="N8">
        <v>2.6691783829691857E-4</v>
      </c>
      <c r="O8">
        <v>1.9786160913054111E-4</v>
      </c>
      <c r="P8">
        <v>2.3131124377116078E-4</v>
      </c>
      <c r="Q8">
        <v>2.5386712886631011E-4</v>
      </c>
      <c r="R8">
        <v>2.3356086667085361E-4</v>
      </c>
      <c r="S8">
        <v>1.9087509243753662E-4</v>
      </c>
      <c r="T8">
        <v>2.2957269117349871E-4</v>
      </c>
      <c r="U8">
        <v>2.3032339022754973E-4</v>
      </c>
      <c r="V8">
        <v>1.804566409617392E-4</v>
      </c>
      <c r="W8">
        <v>2.1992357693385932E-4</v>
      </c>
      <c r="X8">
        <v>2.1423488015992237E-4</v>
      </c>
      <c r="Y8">
        <v>-3.5306478995212123E-6</v>
      </c>
      <c r="Z8">
        <v>7.092052271708967E-6</v>
      </c>
      <c r="AA8">
        <v>2.3180430235990567E-5</v>
      </c>
      <c r="AB8">
        <v>-1.0919631609601047E-4</v>
      </c>
      <c r="AC8">
        <v>-6.2871497281621739E-5</v>
      </c>
      <c r="AD8">
        <v>7.7949604568735062E-5</v>
      </c>
      <c r="AE8">
        <v>-8.4233225498775107E-4</v>
      </c>
    </row>
    <row r="9" spans="1:31" x14ac:dyDescent="0.2">
      <c r="A9" t="s">
        <v>69</v>
      </c>
      <c r="B9">
        <v>6.2493874097019463E-3</v>
      </c>
      <c r="C9">
        <v>-3.9199334894991444E-7</v>
      </c>
      <c r="D9">
        <v>1.3233797250060736E-7</v>
      </c>
      <c r="E9">
        <v>-1.1004208616159935E-6</v>
      </c>
      <c r="F9">
        <v>-8.4338511629140014E-7</v>
      </c>
      <c r="G9">
        <v>1.6639570936897942E-6</v>
      </c>
      <c r="H9">
        <v>5.3451833404796688E-7</v>
      </c>
      <c r="I9">
        <v>2.6276497747648212E-6</v>
      </c>
      <c r="J9">
        <v>4.1060975782415614E-7</v>
      </c>
      <c r="K9">
        <v>4.5780314129387252E-8</v>
      </c>
      <c r="L9">
        <v>-2.091570176052532E-7</v>
      </c>
      <c r="M9">
        <v>-1.7937890929502493E-8</v>
      </c>
      <c r="N9">
        <v>3.8276012654370523E-6</v>
      </c>
      <c r="O9">
        <v>1.853903375305453E-6</v>
      </c>
      <c r="P9">
        <v>1.7760177324829468E-6</v>
      </c>
      <c r="Q9">
        <v>1.1183142211227814E-6</v>
      </c>
      <c r="R9">
        <v>2.2784692500369301E-6</v>
      </c>
      <c r="S9">
        <v>1.6481603550547234E-6</v>
      </c>
      <c r="T9">
        <v>1.2180892588008722E-6</v>
      </c>
      <c r="U9">
        <v>1.5888113850712245E-6</v>
      </c>
      <c r="V9">
        <v>7.5643607765362269E-7</v>
      </c>
      <c r="W9">
        <v>1.2879420939974314E-6</v>
      </c>
      <c r="X9">
        <v>2.0073606037641778E-6</v>
      </c>
      <c r="Y9">
        <v>-2.4732757502907051E-8</v>
      </c>
      <c r="Z9">
        <v>1.1814114175156242E-8</v>
      </c>
      <c r="AA9">
        <v>-2.2816622200791432E-7</v>
      </c>
      <c r="AB9">
        <v>2.4238787324867459E-6</v>
      </c>
      <c r="AC9">
        <v>-6.2531526509140541E-8</v>
      </c>
      <c r="AD9">
        <v>1.8051533189500198E-6</v>
      </c>
      <c r="AE9">
        <v>-2.9571671089250372E-5</v>
      </c>
    </row>
    <row r="10" spans="1:31" x14ac:dyDescent="0.2">
      <c r="A10" t="s">
        <v>70</v>
      </c>
      <c r="B10">
        <v>3.0801299535677565E-3</v>
      </c>
      <c r="C10">
        <v>-1.4853042843456696E-7</v>
      </c>
      <c r="D10">
        <v>-3.6306398083807553E-8</v>
      </c>
      <c r="E10">
        <v>-1.0285379045547882E-7</v>
      </c>
      <c r="F10">
        <v>-5.8395981331645305E-7</v>
      </c>
      <c r="G10">
        <v>-2.0451246510593515E-7</v>
      </c>
      <c r="H10">
        <v>5.3259488898259599E-7</v>
      </c>
      <c r="I10">
        <v>1.1850028777013423E-6</v>
      </c>
      <c r="J10">
        <v>4.5780314129387252E-8</v>
      </c>
      <c r="K10">
        <v>5.6576401252531612E-7</v>
      </c>
      <c r="L10">
        <v>-4.7066402719336963E-7</v>
      </c>
      <c r="M10">
        <v>-1.3193965757096006E-7</v>
      </c>
      <c r="N10">
        <v>1.5114648684380328E-6</v>
      </c>
      <c r="O10">
        <v>5.8418627833882995E-7</v>
      </c>
      <c r="P10">
        <v>7.3791395032803315E-7</v>
      </c>
      <c r="Q10">
        <v>-1.3578294625342248E-6</v>
      </c>
      <c r="R10">
        <v>2.877808057306817E-7</v>
      </c>
      <c r="S10">
        <v>-7.864521205971006E-7</v>
      </c>
      <c r="T10">
        <v>5.9300579551587444E-7</v>
      </c>
      <c r="U10">
        <v>1.0844202807965795E-6</v>
      </c>
      <c r="V10">
        <v>-1.6471155361600319E-7</v>
      </c>
      <c r="W10">
        <v>-1.642960761221752E-6</v>
      </c>
      <c r="X10">
        <v>-5.7234564372750059E-8</v>
      </c>
      <c r="Y10">
        <v>1.8663534223816674E-7</v>
      </c>
      <c r="Z10">
        <v>-9.4379305006604417E-9</v>
      </c>
      <c r="AA10">
        <v>-3.2010750479870148E-7</v>
      </c>
      <c r="AB10">
        <v>2.0887473427908603E-6</v>
      </c>
      <c r="AC10">
        <v>-1.1347376891600216E-7</v>
      </c>
      <c r="AD10">
        <v>1.4222275661006808E-6</v>
      </c>
      <c r="AE10">
        <v>-2.7947113088251961E-5</v>
      </c>
    </row>
    <row r="11" spans="1:31" x14ac:dyDescent="0.2">
      <c r="A11" t="s">
        <v>103</v>
      </c>
      <c r="B11">
        <v>0.25503874819399758</v>
      </c>
      <c r="C11">
        <v>-2.2752548409611321E-5</v>
      </c>
      <c r="D11">
        <v>4.8024780535619319E-7</v>
      </c>
      <c r="E11">
        <v>-5.7110262701158746E-5</v>
      </c>
      <c r="F11">
        <v>-3.1115303563626699E-5</v>
      </c>
      <c r="G11">
        <v>2.3948355955313817E-5</v>
      </c>
      <c r="H11">
        <v>-2.178880635567688E-6</v>
      </c>
      <c r="I11">
        <v>4.9387202019392771E-6</v>
      </c>
      <c r="J11">
        <v>-2.091570176052532E-7</v>
      </c>
      <c r="K11">
        <v>-4.7066402719336963E-7</v>
      </c>
      <c r="L11">
        <v>4.2541426988149466E-5</v>
      </c>
      <c r="M11">
        <v>6.6339480302898226E-7</v>
      </c>
      <c r="N11">
        <v>2.2577186812939322E-5</v>
      </c>
      <c r="O11">
        <v>2.7982646928675483E-5</v>
      </c>
      <c r="P11">
        <v>2.9761144534682456E-5</v>
      </c>
      <c r="Q11">
        <v>2.4541849453793677E-5</v>
      </c>
      <c r="R11">
        <v>2.1316325056876216E-5</v>
      </c>
      <c r="S11">
        <v>2.8502179670655753E-5</v>
      </c>
      <c r="T11">
        <v>1.9186959460773739E-5</v>
      </c>
      <c r="U11">
        <v>2.0276556787798247E-5</v>
      </c>
      <c r="V11">
        <v>2.6419159007481992E-5</v>
      </c>
      <c r="W11">
        <v>2.4719156513522362E-5</v>
      </c>
      <c r="X11">
        <v>3.8220464901375978E-5</v>
      </c>
      <c r="Y11">
        <v>-2.1131992519674347E-6</v>
      </c>
      <c r="Z11">
        <v>-1.0983730535327879E-6</v>
      </c>
      <c r="AA11">
        <v>1.6295404098219207E-6</v>
      </c>
      <c r="AB11">
        <v>3.068815894013738E-5</v>
      </c>
      <c r="AC11">
        <v>3.2943958853895249E-5</v>
      </c>
      <c r="AD11">
        <v>2.4849571952355349E-5</v>
      </c>
      <c r="AE11">
        <v>-2.4909434774759173E-4</v>
      </c>
    </row>
    <row r="12" spans="1:31" x14ac:dyDescent="0.2">
      <c r="A12" t="s">
        <v>104</v>
      </c>
      <c r="B12">
        <v>0.10422839722279777</v>
      </c>
      <c r="C12">
        <v>-6.7636611509754999E-6</v>
      </c>
      <c r="D12">
        <v>-1.9976578769264495E-7</v>
      </c>
      <c r="E12">
        <v>-1.8635507780461992E-5</v>
      </c>
      <c r="F12">
        <v>-1.1742931653609095E-5</v>
      </c>
      <c r="G12">
        <v>9.7326798074161508E-6</v>
      </c>
      <c r="H12">
        <v>-9.9936253556386079E-9</v>
      </c>
      <c r="I12">
        <v>6.0747616272993513E-6</v>
      </c>
      <c r="J12">
        <v>-1.7937890929502493E-8</v>
      </c>
      <c r="K12">
        <v>-1.3193965757096006E-7</v>
      </c>
      <c r="L12">
        <v>6.6339480302898226E-7</v>
      </c>
      <c r="M12">
        <v>1.4094605562288987E-5</v>
      </c>
      <c r="N12">
        <v>2.0899566032304359E-6</v>
      </c>
      <c r="O12">
        <v>3.6845690781333367E-6</v>
      </c>
      <c r="P12">
        <v>5.9064786850674558E-6</v>
      </c>
      <c r="Q12">
        <v>1.9691784600973308E-6</v>
      </c>
      <c r="R12">
        <v>8.0941748080419218E-6</v>
      </c>
      <c r="S12">
        <v>8.3220062763427532E-6</v>
      </c>
      <c r="T12">
        <v>3.6500390569604066E-6</v>
      </c>
      <c r="U12">
        <v>4.4058272793409712E-7</v>
      </c>
      <c r="V12">
        <v>8.5045625642964759E-6</v>
      </c>
      <c r="W12">
        <v>7.3756466464063058E-6</v>
      </c>
      <c r="X12">
        <v>1.1137224459701096E-5</v>
      </c>
      <c r="Y12">
        <v>-4.303796037985066E-7</v>
      </c>
      <c r="Z12">
        <v>-2.7557367777470687E-6</v>
      </c>
      <c r="AA12">
        <v>-2.3709584826563292E-6</v>
      </c>
      <c r="AB12">
        <v>1.2397040205755937E-5</v>
      </c>
      <c r="AC12">
        <v>9.8231149442360215E-6</v>
      </c>
      <c r="AD12">
        <v>1.1495000441632746E-5</v>
      </c>
      <c r="AE12">
        <v>-6.150650577660711E-5</v>
      </c>
    </row>
    <row r="13" spans="1:31" x14ac:dyDescent="0.2">
      <c r="A13" t="s">
        <v>85</v>
      </c>
      <c r="B13">
        <v>-0.10294961915875188</v>
      </c>
      <c r="C13">
        <v>-3.2231897529309795E-5</v>
      </c>
      <c r="D13">
        <v>3.7703181812624785E-6</v>
      </c>
      <c r="E13">
        <v>-3.7940232357711284E-5</v>
      </c>
      <c r="F13">
        <v>-7.6564414072340646E-5</v>
      </c>
      <c r="G13">
        <v>1.9920116557474202E-4</v>
      </c>
      <c r="H13">
        <v>1.987170112027873E-5</v>
      </c>
      <c r="I13">
        <v>2.6691783829691857E-4</v>
      </c>
      <c r="J13">
        <v>3.8276012654370523E-6</v>
      </c>
      <c r="K13">
        <v>1.5114648684380328E-6</v>
      </c>
      <c r="L13">
        <v>2.2577186812939322E-5</v>
      </c>
      <c r="M13">
        <v>2.0899566032304359E-6</v>
      </c>
      <c r="N13">
        <v>2.9650583186340311E-3</v>
      </c>
      <c r="O13">
        <v>1.4490888816004141E-3</v>
      </c>
      <c r="P13">
        <v>1.4357139566397526E-3</v>
      </c>
      <c r="Q13">
        <v>1.4358031376689793E-3</v>
      </c>
      <c r="R13">
        <v>1.4274073792979332E-3</v>
      </c>
      <c r="S13">
        <v>1.4228371418026642E-3</v>
      </c>
      <c r="T13">
        <v>1.4280613953397514E-3</v>
      </c>
      <c r="U13">
        <v>1.4453877161176307E-3</v>
      </c>
      <c r="V13">
        <v>1.4399964220773891E-3</v>
      </c>
      <c r="W13">
        <v>1.4412420172868808E-3</v>
      </c>
      <c r="X13">
        <v>1.4454556857153506E-3</v>
      </c>
      <c r="Y13">
        <v>-4.9705804315614924E-6</v>
      </c>
      <c r="Z13">
        <v>1.9909627772841661E-6</v>
      </c>
      <c r="AA13">
        <v>-5.6649678835971545E-6</v>
      </c>
      <c r="AB13">
        <v>6.5615577062117002E-4</v>
      </c>
      <c r="AC13">
        <v>7.8053635852653796E-4</v>
      </c>
      <c r="AD13">
        <v>3.5348195929491482E-4</v>
      </c>
      <c r="AE13">
        <v>-1.9959460817007518E-3</v>
      </c>
    </row>
    <row r="14" spans="1:31" x14ac:dyDescent="0.2">
      <c r="A14" t="s">
        <v>86</v>
      </c>
      <c r="B14">
        <v>-0.13016543891006202</v>
      </c>
      <c r="C14">
        <v>-1.4750395223643512E-5</v>
      </c>
      <c r="D14">
        <v>2.558055229903155E-6</v>
      </c>
      <c r="E14">
        <v>-5.303991795529479E-6</v>
      </c>
      <c r="F14">
        <v>-5.1039501716682696E-5</v>
      </c>
      <c r="G14">
        <v>1.8814483720959549E-4</v>
      </c>
      <c r="H14">
        <v>1.2512912718141224E-5</v>
      </c>
      <c r="I14">
        <v>1.9786160913054111E-4</v>
      </c>
      <c r="J14">
        <v>1.853903375305453E-6</v>
      </c>
      <c r="K14">
        <v>5.8418627833882995E-7</v>
      </c>
      <c r="L14">
        <v>2.7982646928675483E-5</v>
      </c>
      <c r="M14">
        <v>3.6845690781333367E-6</v>
      </c>
      <c r="N14">
        <v>1.4490888816004141E-3</v>
      </c>
      <c r="O14">
        <v>1.9659003368465294E-3</v>
      </c>
      <c r="P14">
        <v>1.428818767342686E-3</v>
      </c>
      <c r="Q14">
        <v>1.4292470002670449E-3</v>
      </c>
      <c r="R14">
        <v>1.4164534361808291E-3</v>
      </c>
      <c r="S14">
        <v>1.42545558183288E-3</v>
      </c>
      <c r="T14">
        <v>1.4187529197763902E-3</v>
      </c>
      <c r="U14">
        <v>1.4333798812646813E-3</v>
      </c>
      <c r="V14">
        <v>1.4318474255528265E-3</v>
      </c>
      <c r="W14">
        <v>1.4331660846946851E-3</v>
      </c>
      <c r="X14">
        <v>1.4364326346865124E-3</v>
      </c>
      <c r="Y14">
        <v>-3.4999990725358368E-6</v>
      </c>
      <c r="Z14">
        <v>-1.306689760325759E-5</v>
      </c>
      <c r="AA14">
        <v>-5.2727056979990942E-6</v>
      </c>
      <c r="AB14">
        <v>6.22527379465882E-4</v>
      </c>
      <c r="AC14">
        <v>7.6664131971453553E-4</v>
      </c>
      <c r="AD14">
        <v>3.2146591072469992E-4</v>
      </c>
      <c r="AE14">
        <v>-1.8542973791716136E-3</v>
      </c>
    </row>
    <row r="15" spans="1:31" x14ac:dyDescent="0.2">
      <c r="A15" t="s">
        <v>87</v>
      </c>
      <c r="B15">
        <v>-0.13710402455490492</v>
      </c>
      <c r="C15">
        <v>5.4361957509064377E-6</v>
      </c>
      <c r="D15">
        <v>1.7452052597969025E-6</v>
      </c>
      <c r="E15">
        <v>-3.9337543376772118E-5</v>
      </c>
      <c r="F15">
        <v>-5.8214405097216712E-5</v>
      </c>
      <c r="G15">
        <v>1.6349445915697338E-4</v>
      </c>
      <c r="H15">
        <v>4.42274738241441E-5</v>
      </c>
      <c r="I15">
        <v>2.3131124377116078E-4</v>
      </c>
      <c r="J15">
        <v>1.7760177324829468E-6</v>
      </c>
      <c r="K15">
        <v>7.3791395032803315E-7</v>
      </c>
      <c r="L15">
        <v>2.9761144534682456E-5</v>
      </c>
      <c r="M15">
        <v>5.9064786850674558E-6</v>
      </c>
      <c r="N15">
        <v>1.4357139566397526E-3</v>
      </c>
      <c r="O15">
        <v>1.428818767342686E-3</v>
      </c>
      <c r="P15">
        <v>2.0752655069626899E-3</v>
      </c>
      <c r="Q15">
        <v>1.424977150534649E-3</v>
      </c>
      <c r="R15">
        <v>1.4085267998136645E-3</v>
      </c>
      <c r="S15">
        <v>1.4106137154985144E-3</v>
      </c>
      <c r="T15">
        <v>1.4146177830299408E-3</v>
      </c>
      <c r="U15">
        <v>1.428114388126245E-3</v>
      </c>
      <c r="V15">
        <v>1.4251211618855869E-3</v>
      </c>
      <c r="W15">
        <v>1.4238029276089936E-3</v>
      </c>
      <c r="X15">
        <v>1.4284135001032224E-3</v>
      </c>
      <c r="Y15">
        <v>-3.2080890114830467E-6</v>
      </c>
      <c r="Z15">
        <v>-2.3411532915165606E-5</v>
      </c>
      <c r="AA15">
        <v>-1.7039587189198862E-5</v>
      </c>
      <c r="AB15">
        <v>6.1022655007849139E-4</v>
      </c>
      <c r="AC15">
        <v>7.6098287727569035E-4</v>
      </c>
      <c r="AD15">
        <v>2.17657004599448E-4</v>
      </c>
      <c r="AE15">
        <v>-1.8328756963975799E-3</v>
      </c>
    </row>
    <row r="16" spans="1:31" x14ac:dyDescent="0.2">
      <c r="A16" t="s">
        <v>88</v>
      </c>
      <c r="B16">
        <v>-0.10214690113004134</v>
      </c>
      <c r="C16">
        <v>1.3791973410241664E-5</v>
      </c>
      <c r="D16">
        <v>1.5439799595773883E-6</v>
      </c>
      <c r="E16">
        <v>-3.995990978709153E-5</v>
      </c>
      <c r="F16">
        <v>-6.0431453013001817E-5</v>
      </c>
      <c r="G16">
        <v>9.432748698573923E-5</v>
      </c>
      <c r="H16">
        <v>3.6672540816049771E-5</v>
      </c>
      <c r="I16">
        <v>2.5386712886631011E-4</v>
      </c>
      <c r="J16">
        <v>1.1183142211227814E-6</v>
      </c>
      <c r="K16">
        <v>-1.3578294625342248E-6</v>
      </c>
      <c r="L16">
        <v>2.4541849453793677E-5</v>
      </c>
      <c r="M16">
        <v>1.9691784600973308E-6</v>
      </c>
      <c r="N16">
        <v>1.4358031376689793E-3</v>
      </c>
      <c r="O16">
        <v>1.4292470002670449E-3</v>
      </c>
      <c r="P16">
        <v>1.424977150534649E-3</v>
      </c>
      <c r="Q16">
        <v>2.1922845696701965E-3</v>
      </c>
      <c r="R16">
        <v>1.4116213851338181E-3</v>
      </c>
      <c r="S16">
        <v>1.4145002371879442E-3</v>
      </c>
      <c r="T16">
        <v>1.4194168411746561E-3</v>
      </c>
      <c r="U16">
        <v>1.4303381579068772E-3</v>
      </c>
      <c r="V16">
        <v>1.4272926442123629E-3</v>
      </c>
      <c r="W16">
        <v>1.4288946069004596E-3</v>
      </c>
      <c r="X16">
        <v>1.4304555131081553E-3</v>
      </c>
      <c r="Y16">
        <v>-3.1732607154322872E-6</v>
      </c>
      <c r="Z16">
        <v>-6.0748464563219079E-6</v>
      </c>
      <c r="AA16">
        <v>1.8472831821416803E-5</v>
      </c>
      <c r="AB16">
        <v>5.8727879920151323E-4</v>
      </c>
      <c r="AC16">
        <v>7.7527496599084174E-4</v>
      </c>
      <c r="AD16">
        <v>3.0627407576806049E-4</v>
      </c>
      <c r="AE16">
        <v>-1.6301420529742563E-3</v>
      </c>
    </row>
    <row r="17" spans="1:31" x14ac:dyDescent="0.2">
      <c r="A17" t="s">
        <v>89</v>
      </c>
      <c r="B17">
        <v>-9.6243105067744444E-2</v>
      </c>
      <c r="C17">
        <v>-3.7300652165263923E-5</v>
      </c>
      <c r="D17">
        <v>1.8617369948937439E-6</v>
      </c>
      <c r="E17">
        <v>-2.020264371672365E-5</v>
      </c>
      <c r="F17">
        <v>-4.6432842617371336E-5</v>
      </c>
      <c r="G17">
        <v>3.2150918989780851E-4</v>
      </c>
      <c r="H17">
        <v>1.6036758218033572E-5</v>
      </c>
      <c r="I17">
        <v>2.3356086667085361E-4</v>
      </c>
      <c r="J17">
        <v>2.2784692500369301E-6</v>
      </c>
      <c r="K17">
        <v>2.877808057306817E-7</v>
      </c>
      <c r="L17">
        <v>2.1316325056876216E-5</v>
      </c>
      <c r="M17">
        <v>8.0941748080419218E-6</v>
      </c>
      <c r="N17">
        <v>1.4274073792979332E-3</v>
      </c>
      <c r="O17">
        <v>1.4164534361808291E-3</v>
      </c>
      <c r="P17">
        <v>1.4085267998136645E-3</v>
      </c>
      <c r="Q17">
        <v>1.4116213851338181E-3</v>
      </c>
      <c r="R17">
        <v>2.0755552481506951E-3</v>
      </c>
      <c r="S17">
        <v>1.3953349691671235E-3</v>
      </c>
      <c r="T17">
        <v>1.3990908940199184E-3</v>
      </c>
      <c r="U17">
        <v>1.4133615474430123E-3</v>
      </c>
      <c r="V17">
        <v>1.4128652697130411E-3</v>
      </c>
      <c r="W17">
        <v>1.4111750956448811E-3</v>
      </c>
      <c r="X17">
        <v>1.4154321711917031E-3</v>
      </c>
      <c r="Y17">
        <v>-3.219463249253435E-6</v>
      </c>
      <c r="Z17">
        <v>-2.508001327863062E-6</v>
      </c>
      <c r="AA17">
        <v>1.3859875351256626E-6</v>
      </c>
      <c r="AB17">
        <v>5.4475920432411245E-4</v>
      </c>
      <c r="AC17">
        <v>6.5405557375067323E-4</v>
      </c>
      <c r="AD17">
        <v>4.1248373517488196E-4</v>
      </c>
      <c r="AE17">
        <v>-1.7671880030716216E-3</v>
      </c>
    </row>
    <row r="18" spans="1:31" x14ac:dyDescent="0.2">
      <c r="A18" t="s">
        <v>90</v>
      </c>
      <c r="B18">
        <v>-0.12467514908057388</v>
      </c>
      <c r="C18">
        <v>-2.9787806080034296E-5</v>
      </c>
      <c r="D18">
        <v>1.6749424179565847E-6</v>
      </c>
      <c r="E18">
        <v>-2.1113566848808411E-5</v>
      </c>
      <c r="F18">
        <v>-6.0722566736033488E-5</v>
      </c>
      <c r="G18">
        <v>1.518822876946944E-4</v>
      </c>
      <c r="H18">
        <v>2.660194006213914E-5</v>
      </c>
      <c r="I18">
        <v>1.9087509243753662E-4</v>
      </c>
      <c r="J18">
        <v>1.6481603550547234E-6</v>
      </c>
      <c r="K18">
        <v>-7.864521205971006E-7</v>
      </c>
      <c r="L18">
        <v>2.8502179670655753E-5</v>
      </c>
      <c r="M18">
        <v>8.3220062763427532E-6</v>
      </c>
      <c r="N18">
        <v>1.4228371418026642E-3</v>
      </c>
      <c r="O18">
        <v>1.42545558183288E-3</v>
      </c>
      <c r="P18">
        <v>1.4106137154985144E-3</v>
      </c>
      <c r="Q18">
        <v>1.4145002371879442E-3</v>
      </c>
      <c r="R18">
        <v>1.3953349691671235E-3</v>
      </c>
      <c r="S18">
        <v>1.9741253809861226E-3</v>
      </c>
      <c r="T18">
        <v>1.4011097598949232E-3</v>
      </c>
      <c r="U18">
        <v>1.4132276978879124E-3</v>
      </c>
      <c r="V18">
        <v>1.4141194697264133E-3</v>
      </c>
      <c r="W18">
        <v>1.4130271496192773E-3</v>
      </c>
      <c r="X18">
        <v>1.415902295522147E-3</v>
      </c>
      <c r="Y18">
        <v>-3.6972036239283355E-6</v>
      </c>
      <c r="Z18">
        <v>-1.4584058448538491E-5</v>
      </c>
      <c r="AA18">
        <v>-9.9565070490459091E-6</v>
      </c>
      <c r="AB18">
        <v>5.7625922342228108E-4</v>
      </c>
      <c r="AC18">
        <v>6.960874828642956E-4</v>
      </c>
      <c r="AD18">
        <v>2.5620123224875626E-4</v>
      </c>
      <c r="AE18">
        <v>-1.7079058708667381E-3</v>
      </c>
    </row>
    <row r="19" spans="1:31" x14ac:dyDescent="0.2">
      <c r="A19" t="s">
        <v>91</v>
      </c>
      <c r="B19">
        <v>-3.8492589906147498E-2</v>
      </c>
      <c r="C19">
        <v>7.1187079229147048E-6</v>
      </c>
      <c r="D19">
        <v>1.4476082304653031E-6</v>
      </c>
      <c r="E19">
        <v>8.1430608731816918E-6</v>
      </c>
      <c r="F19">
        <v>-5.5795218947233774E-5</v>
      </c>
      <c r="G19">
        <v>1.2509810968009549E-4</v>
      </c>
      <c r="H19">
        <v>3.4621227400635478E-5</v>
      </c>
      <c r="I19">
        <v>2.2957269117349871E-4</v>
      </c>
      <c r="J19">
        <v>1.2180892588008722E-6</v>
      </c>
      <c r="K19">
        <v>5.9300579551587444E-7</v>
      </c>
      <c r="L19">
        <v>1.9186959460773739E-5</v>
      </c>
      <c r="M19">
        <v>3.6500390569604066E-6</v>
      </c>
      <c r="N19">
        <v>1.4280613953397514E-3</v>
      </c>
      <c r="O19">
        <v>1.4187529197763902E-3</v>
      </c>
      <c r="P19">
        <v>1.4146177830299408E-3</v>
      </c>
      <c r="Q19">
        <v>1.4194168411746561E-3</v>
      </c>
      <c r="R19">
        <v>1.3990908940199184E-3</v>
      </c>
      <c r="S19">
        <v>1.4011097598949232E-3</v>
      </c>
      <c r="T19">
        <v>1.8345768128320184E-3</v>
      </c>
      <c r="U19">
        <v>1.4191402466896491E-3</v>
      </c>
      <c r="V19">
        <v>1.4184233026981801E-3</v>
      </c>
      <c r="W19">
        <v>1.419232444665657E-3</v>
      </c>
      <c r="X19">
        <v>1.4184305503526817E-3</v>
      </c>
      <c r="Y19">
        <v>-2.8064361829565951E-6</v>
      </c>
      <c r="Z19">
        <v>-6.5308166425252776E-6</v>
      </c>
      <c r="AA19">
        <v>-7.0614740428282277E-6</v>
      </c>
      <c r="AB19">
        <v>6.2465184533011379E-4</v>
      </c>
      <c r="AC19">
        <v>7.2634719940334227E-4</v>
      </c>
      <c r="AD19">
        <v>2.7712385551121146E-4</v>
      </c>
      <c r="AE19">
        <v>-1.7041793467062671E-3</v>
      </c>
    </row>
    <row r="20" spans="1:31" x14ac:dyDescent="0.2">
      <c r="A20" t="s">
        <v>92</v>
      </c>
      <c r="B20">
        <v>-0.12206767108776906</v>
      </c>
      <c r="C20">
        <v>-1.6823096073129746E-5</v>
      </c>
      <c r="D20">
        <v>2.031302460181373E-6</v>
      </c>
      <c r="E20">
        <v>1.3637526423523715E-5</v>
      </c>
      <c r="F20">
        <v>-4.9056674950393142E-5</v>
      </c>
      <c r="G20">
        <v>1.6503522990124285E-4</v>
      </c>
      <c r="H20">
        <v>1.7882683422045575E-5</v>
      </c>
      <c r="I20">
        <v>2.3032339022754973E-4</v>
      </c>
      <c r="J20">
        <v>1.5888113850712245E-6</v>
      </c>
      <c r="K20">
        <v>1.0844202807965795E-6</v>
      </c>
      <c r="L20">
        <v>2.0276556787798247E-5</v>
      </c>
      <c r="M20">
        <v>4.4058272793409712E-7</v>
      </c>
      <c r="N20">
        <v>1.4453877161176307E-3</v>
      </c>
      <c r="O20">
        <v>1.4333798812646813E-3</v>
      </c>
      <c r="P20">
        <v>1.428114388126245E-3</v>
      </c>
      <c r="Q20">
        <v>1.4303381579068772E-3</v>
      </c>
      <c r="R20">
        <v>1.4133615474430123E-3</v>
      </c>
      <c r="S20">
        <v>1.4132276978879124E-3</v>
      </c>
      <c r="T20">
        <v>1.4191402466896491E-3</v>
      </c>
      <c r="U20">
        <v>2.0501925682493084E-3</v>
      </c>
      <c r="V20">
        <v>1.4328170379360162E-3</v>
      </c>
      <c r="W20">
        <v>1.4339063737017299E-3</v>
      </c>
      <c r="X20">
        <v>1.4353190216919273E-3</v>
      </c>
      <c r="Y20">
        <v>-2.2492594153648116E-6</v>
      </c>
      <c r="Z20">
        <v>-1.0124596702855773E-5</v>
      </c>
      <c r="AA20">
        <v>-1.9017834165811632E-5</v>
      </c>
      <c r="AB20">
        <v>6.3818099007764207E-4</v>
      </c>
      <c r="AC20">
        <v>7.8008126854252238E-4</v>
      </c>
      <c r="AD20">
        <v>2.6808024252380271E-4</v>
      </c>
      <c r="AE20">
        <v>-1.7872304175093629E-3</v>
      </c>
    </row>
    <row r="21" spans="1:31" x14ac:dyDescent="0.2">
      <c r="A21" t="s">
        <v>93</v>
      </c>
      <c r="B21">
        <v>-7.8151511384390901E-2</v>
      </c>
      <c r="C21">
        <v>-6.1341065957509156E-6</v>
      </c>
      <c r="D21">
        <v>1.5061857482986279E-6</v>
      </c>
      <c r="E21">
        <v>2.677540598251864E-5</v>
      </c>
      <c r="F21">
        <v>-5.9353184268546438E-5</v>
      </c>
      <c r="G21">
        <v>1.5361062008953852E-4</v>
      </c>
      <c r="H21">
        <v>1.1124009972488307E-5</v>
      </c>
      <c r="I21">
        <v>1.804566409617392E-4</v>
      </c>
      <c r="J21">
        <v>7.5643607765362269E-7</v>
      </c>
      <c r="K21">
        <v>-1.6471155361600319E-7</v>
      </c>
      <c r="L21">
        <v>2.6419159007481992E-5</v>
      </c>
      <c r="M21">
        <v>8.5045625642964759E-6</v>
      </c>
      <c r="N21">
        <v>1.4399964220773891E-3</v>
      </c>
      <c r="O21">
        <v>1.4318474255528265E-3</v>
      </c>
      <c r="P21">
        <v>1.4251211618855869E-3</v>
      </c>
      <c r="Q21">
        <v>1.4272926442123629E-3</v>
      </c>
      <c r="R21">
        <v>1.4128652697130411E-3</v>
      </c>
      <c r="S21">
        <v>1.4141194697264133E-3</v>
      </c>
      <c r="T21">
        <v>1.4184233026981801E-3</v>
      </c>
      <c r="U21">
        <v>1.4328170379360162E-3</v>
      </c>
      <c r="V21">
        <v>2.253561920087503E-3</v>
      </c>
      <c r="W21">
        <v>1.4351822802386605E-3</v>
      </c>
      <c r="X21">
        <v>1.4357207118164037E-3</v>
      </c>
      <c r="Y21">
        <v>-1.6635896545837603E-7</v>
      </c>
      <c r="Z21">
        <v>-2.6877232874236855E-5</v>
      </c>
      <c r="AA21">
        <v>-1.7583555880471103E-5</v>
      </c>
      <c r="AB21">
        <v>5.8165530068838363E-4</v>
      </c>
      <c r="AC21">
        <v>7.8037780310288287E-4</v>
      </c>
      <c r="AD21">
        <v>3.1217995683607998E-4</v>
      </c>
      <c r="AE21">
        <v>-1.7735249475842262E-3</v>
      </c>
    </row>
    <row r="22" spans="1:31" x14ac:dyDescent="0.2">
      <c r="A22" t="s">
        <v>94</v>
      </c>
      <c r="B22">
        <v>-8.63352437659934E-2</v>
      </c>
      <c r="C22">
        <v>-1.0221752353654053E-5</v>
      </c>
      <c r="D22">
        <v>2.1262057783788876E-6</v>
      </c>
      <c r="E22">
        <v>-3.8851576109049502E-5</v>
      </c>
      <c r="F22">
        <v>-8.4179073059012082E-5</v>
      </c>
      <c r="G22">
        <v>1.4818915118444448E-4</v>
      </c>
      <c r="H22">
        <v>7.3958329970213356E-6</v>
      </c>
      <c r="I22">
        <v>2.1992357693385932E-4</v>
      </c>
      <c r="J22">
        <v>1.2879420939974314E-6</v>
      </c>
      <c r="K22">
        <v>-1.642960761221752E-6</v>
      </c>
      <c r="L22">
        <v>2.4719156513522362E-5</v>
      </c>
      <c r="M22">
        <v>7.3756466464063058E-6</v>
      </c>
      <c r="N22">
        <v>1.4412420172868808E-3</v>
      </c>
      <c r="O22">
        <v>1.4331660846946851E-3</v>
      </c>
      <c r="P22">
        <v>1.4238029276089936E-3</v>
      </c>
      <c r="Q22">
        <v>1.4288946069004596E-3</v>
      </c>
      <c r="R22">
        <v>1.4111750956448811E-3</v>
      </c>
      <c r="S22">
        <v>1.4130271496192773E-3</v>
      </c>
      <c r="T22">
        <v>1.419232444665657E-3</v>
      </c>
      <c r="U22">
        <v>1.4339063737017299E-3</v>
      </c>
      <c r="V22">
        <v>1.4351822802386605E-3</v>
      </c>
      <c r="W22">
        <v>1.989409410196688E-3</v>
      </c>
      <c r="X22">
        <v>1.4312341069051566E-3</v>
      </c>
      <c r="Y22">
        <v>-2.4610445942296378E-6</v>
      </c>
      <c r="Z22">
        <v>-1.9229004366814658E-5</v>
      </c>
      <c r="AA22">
        <v>-2.0174567928582489E-5</v>
      </c>
      <c r="AB22">
        <v>6.2325371108326653E-4</v>
      </c>
      <c r="AC22">
        <v>7.7087113101725283E-4</v>
      </c>
      <c r="AD22">
        <v>3.192418681124946E-4</v>
      </c>
      <c r="AE22">
        <v>-1.6733535486973667E-3</v>
      </c>
    </row>
    <row r="23" spans="1:31" x14ac:dyDescent="0.2">
      <c r="A23" t="s">
        <v>95</v>
      </c>
      <c r="B23">
        <v>3.4517592698727083E-2</v>
      </c>
      <c r="C23">
        <v>-2.2769174269358714E-5</v>
      </c>
      <c r="D23">
        <v>2.2020491432570266E-6</v>
      </c>
      <c r="E23">
        <v>-1.8466407007971945E-5</v>
      </c>
      <c r="F23">
        <v>-4.9768091075991206E-5</v>
      </c>
      <c r="G23">
        <v>1.274238487372042E-4</v>
      </c>
      <c r="H23">
        <v>-1.2848278401765193E-6</v>
      </c>
      <c r="I23">
        <v>2.1423488015992237E-4</v>
      </c>
      <c r="J23">
        <v>2.0073606037641778E-6</v>
      </c>
      <c r="K23">
        <v>-5.7234564372750059E-8</v>
      </c>
      <c r="L23">
        <v>3.8220464901375978E-5</v>
      </c>
      <c r="M23">
        <v>1.1137224459701096E-5</v>
      </c>
      <c r="N23">
        <v>1.4454556857153506E-3</v>
      </c>
      <c r="O23">
        <v>1.4364326346865124E-3</v>
      </c>
      <c r="P23">
        <v>1.4284135001032224E-3</v>
      </c>
      <c r="Q23">
        <v>1.4304555131081553E-3</v>
      </c>
      <c r="R23">
        <v>1.4154321711917031E-3</v>
      </c>
      <c r="S23">
        <v>1.415902295522147E-3</v>
      </c>
      <c r="T23">
        <v>1.4184305503526817E-3</v>
      </c>
      <c r="U23">
        <v>1.4353190216919273E-3</v>
      </c>
      <c r="V23">
        <v>1.4357207118164037E-3</v>
      </c>
      <c r="W23">
        <v>1.4312341069051566E-3</v>
      </c>
      <c r="X23">
        <v>2.1903034120598327E-3</v>
      </c>
      <c r="Y23">
        <v>-5.3063735384039704E-6</v>
      </c>
      <c r="Z23">
        <v>-2.1226244955640248E-5</v>
      </c>
      <c r="AA23">
        <v>-1.7404971674022457E-5</v>
      </c>
      <c r="AB23">
        <v>6.5448833858606798E-4</v>
      </c>
      <c r="AC23">
        <v>7.9886052027299556E-4</v>
      </c>
      <c r="AD23">
        <v>3.2651045680377343E-4</v>
      </c>
      <c r="AE23">
        <v>-1.8680561983199335E-3</v>
      </c>
    </row>
    <row r="24" spans="1:31" x14ac:dyDescent="0.2">
      <c r="A24" t="s">
        <v>110</v>
      </c>
      <c r="B24">
        <v>3.3997053979368283E-3</v>
      </c>
      <c r="C24">
        <v>3.0641070639164714E-6</v>
      </c>
      <c r="D24">
        <v>-4.533753258597011E-7</v>
      </c>
      <c r="E24">
        <v>-6.3721009193150658E-6</v>
      </c>
      <c r="F24">
        <v>-5.1757623352086284E-6</v>
      </c>
      <c r="G24">
        <v>-2.9645346299284162E-6</v>
      </c>
      <c r="H24">
        <v>1.6755995027678644E-6</v>
      </c>
      <c r="I24">
        <v>-3.5306478995212123E-6</v>
      </c>
      <c r="J24">
        <v>-2.4732757502907051E-8</v>
      </c>
      <c r="K24">
        <v>1.8663534223816674E-7</v>
      </c>
      <c r="L24">
        <v>-2.1131992519674347E-6</v>
      </c>
      <c r="M24">
        <v>-4.303796037985066E-7</v>
      </c>
      <c r="N24">
        <v>-4.9705804315614924E-6</v>
      </c>
      <c r="O24">
        <v>-3.4999990725358368E-6</v>
      </c>
      <c r="P24">
        <v>-3.2080890114830467E-6</v>
      </c>
      <c r="Q24">
        <v>-3.1732607154322872E-6</v>
      </c>
      <c r="R24">
        <v>-3.219463249253435E-6</v>
      </c>
      <c r="S24">
        <v>-3.6972036239283355E-6</v>
      </c>
      <c r="T24">
        <v>-2.8064361829565951E-6</v>
      </c>
      <c r="U24">
        <v>-2.2492594153648116E-6</v>
      </c>
      <c r="V24">
        <v>-1.6635896545837603E-7</v>
      </c>
      <c r="W24">
        <v>-2.4610445942296378E-6</v>
      </c>
      <c r="X24">
        <v>-5.3063735384039704E-6</v>
      </c>
      <c r="Y24">
        <v>3.0948732654855376E-6</v>
      </c>
      <c r="Z24">
        <v>-6.5200507330578129E-6</v>
      </c>
      <c r="AA24">
        <v>-7.890632132821896E-6</v>
      </c>
      <c r="AB24">
        <v>-5.3548415045783843E-6</v>
      </c>
      <c r="AC24">
        <v>-6.5423100415395807E-6</v>
      </c>
      <c r="AD24">
        <v>2.6524007956492811E-6</v>
      </c>
      <c r="AE24">
        <v>-6.1352904648015114E-6</v>
      </c>
    </row>
    <row r="25" spans="1:31" x14ac:dyDescent="0.2">
      <c r="A25" t="s">
        <v>96</v>
      </c>
      <c r="B25">
        <v>3.5617599429500726E-2</v>
      </c>
      <c r="C25">
        <v>1.0344346866934665E-5</v>
      </c>
      <c r="D25">
        <v>1.8725759645594578E-7</v>
      </c>
      <c r="E25">
        <v>2.1453540607813469E-5</v>
      </c>
      <c r="F25">
        <v>1.1339522930497306E-5</v>
      </c>
      <c r="G25">
        <v>4.6195275154141476E-5</v>
      </c>
      <c r="H25">
        <v>9.1956299684649406E-6</v>
      </c>
      <c r="I25">
        <v>7.092052271708967E-6</v>
      </c>
      <c r="J25">
        <v>1.1814114175156242E-8</v>
      </c>
      <c r="K25">
        <v>-9.4379305006604417E-9</v>
      </c>
      <c r="L25">
        <v>-1.0983730535327879E-6</v>
      </c>
      <c r="M25">
        <v>-2.7557367777470687E-6</v>
      </c>
      <c r="N25">
        <v>1.9909627772841661E-6</v>
      </c>
      <c r="O25">
        <v>-1.306689760325759E-5</v>
      </c>
      <c r="P25">
        <v>-2.3411532915165606E-5</v>
      </c>
      <c r="Q25">
        <v>-6.0748464563219079E-6</v>
      </c>
      <c r="R25">
        <v>-2.508001327863062E-6</v>
      </c>
      <c r="S25">
        <v>-1.4584058448538491E-5</v>
      </c>
      <c r="T25">
        <v>-6.5308166425252776E-6</v>
      </c>
      <c r="U25">
        <v>-1.0124596702855773E-5</v>
      </c>
      <c r="V25">
        <v>-2.6877232874236855E-5</v>
      </c>
      <c r="W25">
        <v>-1.9229004366814658E-5</v>
      </c>
      <c r="X25">
        <v>-2.1226244955640248E-5</v>
      </c>
      <c r="Y25">
        <v>-6.5200507330578129E-6</v>
      </c>
      <c r="Z25">
        <v>2.0346000040322049E-4</v>
      </c>
      <c r="AA25">
        <v>5.3190606753000637E-5</v>
      </c>
      <c r="AB25">
        <v>1.6187191444243324E-5</v>
      </c>
      <c r="AC25">
        <v>-1.8792784372004636E-5</v>
      </c>
      <c r="AD25">
        <v>-2.3226599433760967E-5</v>
      </c>
      <c r="AE25">
        <v>1.0129947404426457E-4</v>
      </c>
    </row>
    <row r="26" spans="1:31" x14ac:dyDescent="0.2">
      <c r="A26" t="s">
        <v>97</v>
      </c>
      <c r="B26">
        <v>4.2380660518323308E-2</v>
      </c>
      <c r="C26">
        <v>9.9601563111846256E-6</v>
      </c>
      <c r="D26">
        <v>-4.6021122399666217E-7</v>
      </c>
      <c r="E26">
        <v>-1.7834686937467567E-6</v>
      </c>
      <c r="F26">
        <v>3.7964306455405653E-6</v>
      </c>
      <c r="G26">
        <v>-2.9906268290784725E-5</v>
      </c>
      <c r="H26">
        <v>9.1421768470898963E-6</v>
      </c>
      <c r="I26">
        <v>2.3180430235990567E-5</v>
      </c>
      <c r="J26">
        <v>-2.2816622200791432E-7</v>
      </c>
      <c r="K26">
        <v>-3.2010750479870148E-7</v>
      </c>
      <c r="L26">
        <v>1.6295404098219207E-6</v>
      </c>
      <c r="M26">
        <v>-2.3709584826563292E-6</v>
      </c>
      <c r="N26">
        <v>-5.6649678835971545E-6</v>
      </c>
      <c r="O26">
        <v>-5.2727056979990942E-6</v>
      </c>
      <c r="P26">
        <v>-1.7039587189198862E-5</v>
      </c>
      <c r="Q26">
        <v>1.8472831821416803E-5</v>
      </c>
      <c r="R26">
        <v>1.3859875351256626E-6</v>
      </c>
      <c r="S26">
        <v>-9.9565070490459091E-6</v>
      </c>
      <c r="T26">
        <v>-7.0614740428282277E-6</v>
      </c>
      <c r="U26">
        <v>-1.9017834165811632E-5</v>
      </c>
      <c r="V26">
        <v>-1.7583555880471103E-5</v>
      </c>
      <c r="W26">
        <v>-2.0174567928582489E-5</v>
      </c>
      <c r="X26">
        <v>-1.7404971674022457E-5</v>
      </c>
      <c r="Y26">
        <v>-7.890632132821896E-6</v>
      </c>
      <c r="Z26">
        <v>5.3190606753000637E-5</v>
      </c>
      <c r="AA26">
        <v>2.2933731831828116E-4</v>
      </c>
      <c r="AB26">
        <v>-6.3698705076640735E-6</v>
      </c>
      <c r="AC26">
        <v>-2.2623311845831483E-6</v>
      </c>
      <c r="AD26">
        <v>-2.3022440029784471E-5</v>
      </c>
      <c r="AE26">
        <v>1.8284706396524888E-4</v>
      </c>
    </row>
    <row r="27" spans="1:31" x14ac:dyDescent="0.2">
      <c r="A27" t="s">
        <v>98</v>
      </c>
      <c r="B27">
        <v>2.8084077149474716E-2</v>
      </c>
      <c r="C27">
        <v>-3.7640973150705857E-5</v>
      </c>
      <c r="D27">
        <v>2.4411877517796038E-6</v>
      </c>
      <c r="E27">
        <v>-9.1342548692129256E-5</v>
      </c>
      <c r="F27">
        <v>-2.1842701993846948E-5</v>
      </c>
      <c r="G27">
        <v>-1.9853634743930803E-4</v>
      </c>
      <c r="H27">
        <v>1.7614117265546175E-5</v>
      </c>
      <c r="I27">
        <v>-1.0919631609601047E-4</v>
      </c>
      <c r="J27">
        <v>2.4238787324867459E-6</v>
      </c>
      <c r="K27">
        <v>2.0887473427908603E-6</v>
      </c>
      <c r="L27">
        <v>3.068815894013738E-5</v>
      </c>
      <c r="M27">
        <v>1.2397040205755937E-5</v>
      </c>
      <c r="N27">
        <v>6.5615577062117002E-4</v>
      </c>
      <c r="O27">
        <v>6.22527379465882E-4</v>
      </c>
      <c r="P27">
        <v>6.1022655007849139E-4</v>
      </c>
      <c r="Q27">
        <v>5.8727879920151323E-4</v>
      </c>
      <c r="R27">
        <v>5.4475920432411245E-4</v>
      </c>
      <c r="S27">
        <v>5.7625922342228108E-4</v>
      </c>
      <c r="T27">
        <v>6.2465184533011379E-4</v>
      </c>
      <c r="U27">
        <v>6.3818099007764207E-4</v>
      </c>
      <c r="V27">
        <v>5.8165530068838363E-4</v>
      </c>
      <c r="W27">
        <v>6.2325371108326653E-4</v>
      </c>
      <c r="X27">
        <v>6.5448833858606798E-4</v>
      </c>
      <c r="Y27">
        <v>-5.3548415045783843E-6</v>
      </c>
      <c r="Z27">
        <v>1.6187191444243324E-5</v>
      </c>
      <c r="AA27">
        <v>-6.3698705076640735E-6</v>
      </c>
      <c r="AB27">
        <v>3.7243640515321531E-3</v>
      </c>
      <c r="AC27">
        <v>3.8589322021135609E-4</v>
      </c>
      <c r="AD27">
        <v>2.044790893090656E-4</v>
      </c>
      <c r="AE27">
        <v>-1.1882453408444957E-3</v>
      </c>
    </row>
    <row r="28" spans="1:31" x14ac:dyDescent="0.2">
      <c r="A28" t="s">
        <v>99</v>
      </c>
      <c r="B28">
        <v>-0.10174476549231</v>
      </c>
      <c r="C28">
        <v>5.2110357712919833E-5</v>
      </c>
      <c r="D28">
        <v>2.1930898706038626E-6</v>
      </c>
      <c r="E28">
        <v>8.6703168867657582E-5</v>
      </c>
      <c r="F28">
        <v>-4.6155373236014341E-6</v>
      </c>
      <c r="G28">
        <v>-8.6536497194289008E-5</v>
      </c>
      <c r="H28">
        <v>-4.1056805061414161E-6</v>
      </c>
      <c r="I28">
        <v>-6.2871497281621739E-5</v>
      </c>
      <c r="J28">
        <v>-6.2531526509140541E-8</v>
      </c>
      <c r="K28">
        <v>-1.1347376891600216E-7</v>
      </c>
      <c r="L28">
        <v>3.2943958853895249E-5</v>
      </c>
      <c r="M28">
        <v>9.8231149442360215E-6</v>
      </c>
      <c r="N28">
        <v>7.8053635852653796E-4</v>
      </c>
      <c r="O28">
        <v>7.6664131971453553E-4</v>
      </c>
      <c r="P28">
        <v>7.6098287727569035E-4</v>
      </c>
      <c r="Q28">
        <v>7.7527496599084174E-4</v>
      </c>
      <c r="R28">
        <v>6.5405557375067323E-4</v>
      </c>
      <c r="S28">
        <v>6.960874828642956E-4</v>
      </c>
      <c r="T28">
        <v>7.2634719940334227E-4</v>
      </c>
      <c r="U28">
        <v>7.8008126854252238E-4</v>
      </c>
      <c r="V28">
        <v>7.8037780310288287E-4</v>
      </c>
      <c r="W28">
        <v>7.7087113101725283E-4</v>
      </c>
      <c r="X28">
        <v>7.9886052027299556E-4</v>
      </c>
      <c r="Y28">
        <v>-6.5423100415395807E-6</v>
      </c>
      <c r="Z28">
        <v>-1.8792784372004636E-5</v>
      </c>
      <c r="AA28">
        <v>-2.2623311845831483E-6</v>
      </c>
      <c r="AB28">
        <v>3.8589322021135609E-4</v>
      </c>
      <c r="AC28">
        <v>8.2782812166007913E-3</v>
      </c>
      <c r="AD28">
        <v>2.0674692128938235E-4</v>
      </c>
      <c r="AE28">
        <v>-1.1482462244966252E-3</v>
      </c>
    </row>
    <row r="29" spans="1:31" x14ac:dyDescent="0.2">
      <c r="A29" t="s">
        <v>100</v>
      </c>
      <c r="B29">
        <v>3.1275406752451697E-2</v>
      </c>
      <c r="C29">
        <v>-2.0209367756971014E-5</v>
      </c>
      <c r="D29">
        <v>2.2742758196056184E-6</v>
      </c>
      <c r="E29">
        <v>-1.1550260095256312E-4</v>
      </c>
      <c r="F29">
        <v>-8.8162745571051566E-5</v>
      </c>
      <c r="G29">
        <v>1.0922263669792324E-4</v>
      </c>
      <c r="H29">
        <v>1.010171918349803E-5</v>
      </c>
      <c r="I29">
        <v>7.7949604568735062E-5</v>
      </c>
      <c r="J29">
        <v>1.8051533189500198E-6</v>
      </c>
      <c r="K29">
        <v>1.4222275661006808E-6</v>
      </c>
      <c r="L29">
        <v>2.4849571952355349E-5</v>
      </c>
      <c r="M29">
        <v>1.1495000441632746E-5</v>
      </c>
      <c r="N29">
        <v>3.5348195929491482E-4</v>
      </c>
      <c r="O29">
        <v>3.2146591072469992E-4</v>
      </c>
      <c r="P29">
        <v>2.17657004599448E-4</v>
      </c>
      <c r="Q29">
        <v>3.0627407576806049E-4</v>
      </c>
      <c r="R29">
        <v>4.1248373517488196E-4</v>
      </c>
      <c r="S29">
        <v>2.5620123224875626E-4</v>
      </c>
      <c r="T29">
        <v>2.7712385551121146E-4</v>
      </c>
      <c r="U29">
        <v>2.6808024252380271E-4</v>
      </c>
      <c r="V29">
        <v>3.1217995683607998E-4</v>
      </c>
      <c r="W29">
        <v>3.192418681124946E-4</v>
      </c>
      <c r="X29">
        <v>3.2651045680377343E-4</v>
      </c>
      <c r="Y29">
        <v>2.6524007956492811E-6</v>
      </c>
      <c r="Z29">
        <v>-2.3226599433760967E-5</v>
      </c>
      <c r="AA29">
        <v>-2.3022440029784471E-5</v>
      </c>
      <c r="AB29">
        <v>2.044790893090656E-4</v>
      </c>
      <c r="AC29">
        <v>2.0674692128938235E-4</v>
      </c>
      <c r="AD29">
        <v>7.3115779102677315E-3</v>
      </c>
      <c r="AE29">
        <v>-8.7761498615084651E-4</v>
      </c>
    </row>
    <row r="30" spans="1:31" x14ac:dyDescent="0.2">
      <c r="A30" t="s">
        <v>47</v>
      </c>
      <c r="B30">
        <v>4.3262399424390043</v>
      </c>
      <c r="C30">
        <v>1.5869599755379178E-4</v>
      </c>
      <c r="D30">
        <v>-7.6796685351649172E-5</v>
      </c>
      <c r="E30">
        <v>-9.0060308904033959E-6</v>
      </c>
      <c r="F30">
        <v>-8.0648320571092571E-5</v>
      </c>
      <c r="G30">
        <v>-8.7994525724374782E-4</v>
      </c>
      <c r="H30">
        <v>5.5368629414233788E-5</v>
      </c>
      <c r="I30">
        <v>-8.4233225498775107E-4</v>
      </c>
      <c r="J30">
        <v>-2.9571671089250372E-5</v>
      </c>
      <c r="K30">
        <v>-2.7947113088251961E-5</v>
      </c>
      <c r="L30">
        <v>-2.4909434774759173E-4</v>
      </c>
      <c r="M30">
        <v>-6.150650577660711E-5</v>
      </c>
      <c r="N30">
        <v>-1.9959460817007518E-3</v>
      </c>
      <c r="O30">
        <v>-1.8542973791716136E-3</v>
      </c>
      <c r="P30">
        <v>-1.8328756963975799E-3</v>
      </c>
      <c r="Q30">
        <v>-1.6301420529742563E-3</v>
      </c>
      <c r="R30">
        <v>-1.7671880030716216E-3</v>
      </c>
      <c r="S30">
        <v>-1.7079058708667381E-3</v>
      </c>
      <c r="T30">
        <v>-1.7041793467062671E-3</v>
      </c>
      <c r="U30">
        <v>-1.7872304175093629E-3</v>
      </c>
      <c r="V30">
        <v>-1.7735249475842262E-3</v>
      </c>
      <c r="W30">
        <v>-1.6733535486973667E-3</v>
      </c>
      <c r="X30">
        <v>-1.8680561983199335E-3</v>
      </c>
      <c r="Y30">
        <v>-6.1352904648015114E-6</v>
      </c>
      <c r="Z30">
        <v>1.0129947404426457E-4</v>
      </c>
      <c r="AA30">
        <v>1.8284706396524888E-4</v>
      </c>
      <c r="AB30">
        <v>-1.1882453408444957E-3</v>
      </c>
      <c r="AC30">
        <v>-1.1482462244966252E-3</v>
      </c>
      <c r="AD30">
        <v>-8.7761498615084651E-4</v>
      </c>
      <c r="AE30">
        <v>1.2289088377037929E-2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E30"/>
  <sheetViews>
    <sheetView workbookViewId="0">
      <selection activeCell="A26" sqref="A26"/>
    </sheetView>
  </sheetViews>
  <sheetFormatPr baseColWidth="10" defaultColWidth="8.83203125" defaultRowHeight="15" x14ac:dyDescent="0.2"/>
  <cols>
    <col min="1" max="1" width="24" bestFit="1" customWidth="1"/>
  </cols>
  <sheetData>
    <row r="1" spans="1:31" x14ac:dyDescent="0.2">
      <c r="A1" t="s">
        <v>19</v>
      </c>
      <c r="B1" t="s">
        <v>20</v>
      </c>
      <c r="C1" t="s">
        <v>66</v>
      </c>
      <c r="D1" t="s">
        <v>105</v>
      </c>
      <c r="E1" t="s">
        <v>101</v>
      </c>
      <c r="F1" t="s">
        <v>102</v>
      </c>
      <c r="G1" t="s">
        <v>81</v>
      </c>
      <c r="H1" t="s">
        <v>83</v>
      </c>
      <c r="I1" t="s">
        <v>84</v>
      </c>
      <c r="J1" t="s">
        <v>107</v>
      </c>
      <c r="K1" t="s">
        <v>69</v>
      </c>
      <c r="L1" t="s">
        <v>70</v>
      </c>
      <c r="M1" t="s">
        <v>109</v>
      </c>
      <c r="N1" t="s">
        <v>85</v>
      </c>
      <c r="O1" t="s">
        <v>86</v>
      </c>
      <c r="P1" t="s">
        <v>87</v>
      </c>
      <c r="Q1" t="s">
        <v>88</v>
      </c>
      <c r="R1" t="s">
        <v>89</v>
      </c>
      <c r="S1" t="s">
        <v>90</v>
      </c>
      <c r="T1" t="s">
        <v>91</v>
      </c>
      <c r="U1" t="s">
        <v>92</v>
      </c>
      <c r="V1" t="s">
        <v>93</v>
      </c>
      <c r="W1" t="s">
        <v>94</v>
      </c>
      <c r="X1" t="s">
        <v>95</v>
      </c>
      <c r="Y1" t="s">
        <v>110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47</v>
      </c>
    </row>
    <row r="2" spans="1:31" x14ac:dyDescent="0.2">
      <c r="A2" t="s">
        <v>66</v>
      </c>
      <c r="B2">
        <v>0.35383795706371352</v>
      </c>
      <c r="C2">
        <v>6.665044307236561E-3</v>
      </c>
      <c r="D2">
        <v>1.4796695380765826E-4</v>
      </c>
      <c r="E2">
        <v>1.4096413198381424E-3</v>
      </c>
      <c r="F2">
        <v>8.6451883532648538E-4</v>
      </c>
      <c r="G2">
        <v>4.6142078480439588E-4</v>
      </c>
      <c r="H2">
        <v>-1.5188092522235548E-3</v>
      </c>
      <c r="I2">
        <v>8.546270980591327E-4</v>
      </c>
      <c r="J2">
        <v>3.388437209526779E-4</v>
      </c>
      <c r="K2">
        <v>3.6735303403715353E-5</v>
      </c>
      <c r="L2">
        <v>-1.9138151699122877E-5</v>
      </c>
      <c r="M2">
        <v>-3.9617751019052615E-5</v>
      </c>
      <c r="N2">
        <v>1.4772122542771433E-4</v>
      </c>
      <c r="O2">
        <v>-7.6708561412612954E-4</v>
      </c>
      <c r="P2">
        <v>-3.634552477113697E-4</v>
      </c>
      <c r="Q2">
        <v>-1.2996608193042399E-3</v>
      </c>
      <c r="R2">
        <v>-1.4385867940101631E-3</v>
      </c>
      <c r="S2">
        <v>-1.1264501274798151E-3</v>
      </c>
      <c r="T2">
        <v>-5.9741982798991607E-4</v>
      </c>
      <c r="U2">
        <v>-5.8240176948664603E-4</v>
      </c>
      <c r="V2">
        <v>-9.7035459270419658E-4</v>
      </c>
      <c r="W2">
        <v>-1.4659934106740608E-3</v>
      </c>
      <c r="X2">
        <v>-1.2112653202902709E-3</v>
      </c>
      <c r="Y2">
        <v>1.1090626607253193E-4</v>
      </c>
      <c r="Z2">
        <v>-6.4681663828254589E-4</v>
      </c>
      <c r="AA2">
        <v>2.0169603174773445E-4</v>
      </c>
      <c r="AB2">
        <v>3.7231177407090748E-4</v>
      </c>
      <c r="AC2">
        <v>4.8357832236666561E-4</v>
      </c>
      <c r="AD2">
        <v>-2.018643409382132E-3</v>
      </c>
      <c r="AE2">
        <v>-5.3601843944844404E-3</v>
      </c>
    </row>
    <row r="3" spans="1:31" x14ac:dyDescent="0.2">
      <c r="A3" t="s">
        <v>105</v>
      </c>
      <c r="B3">
        <v>0.21625282313097288</v>
      </c>
      <c r="C3">
        <v>1.4796695380765826E-4</v>
      </c>
      <c r="D3">
        <v>7.2279169399942058E-3</v>
      </c>
      <c r="E3">
        <v>1.4377996320011448E-3</v>
      </c>
      <c r="F3">
        <v>1.6699542133365784E-3</v>
      </c>
      <c r="G3">
        <v>1.3479871355391007E-3</v>
      </c>
      <c r="H3">
        <v>1.0191149507753784E-3</v>
      </c>
      <c r="I3">
        <v>-5.6838727385172825E-4</v>
      </c>
      <c r="J3">
        <v>-1.2013195350039372E-3</v>
      </c>
      <c r="K3">
        <v>5.754140812465564E-6</v>
      </c>
      <c r="L3">
        <v>-5.9174423123706557E-5</v>
      </c>
      <c r="M3">
        <v>4.834732625784524E-5</v>
      </c>
      <c r="N3">
        <v>2.9064105868808394E-3</v>
      </c>
      <c r="O3">
        <v>1.2854829718093115E-3</v>
      </c>
      <c r="P3">
        <v>2.130784953834489E-3</v>
      </c>
      <c r="Q3">
        <v>1.4210324345818358E-3</v>
      </c>
      <c r="R3">
        <v>1.2580378971169062E-3</v>
      </c>
      <c r="S3">
        <v>1.1508797758216236E-3</v>
      </c>
      <c r="T3">
        <v>8.5809690039241864E-4</v>
      </c>
      <c r="U3">
        <v>1.2867188988461829E-3</v>
      </c>
      <c r="V3">
        <v>1.7986765909663123E-3</v>
      </c>
      <c r="W3">
        <v>1.5612546172892681E-3</v>
      </c>
      <c r="X3">
        <v>1.7701464441010851E-3</v>
      </c>
      <c r="Y3">
        <v>1.0366462666701033E-4</v>
      </c>
      <c r="Z3">
        <v>4.0398948472131842E-4</v>
      </c>
      <c r="AA3">
        <v>1.0420391998900646E-3</v>
      </c>
      <c r="AB3">
        <v>2.5217783552915381E-5</v>
      </c>
      <c r="AC3">
        <v>2.4760832969318476E-3</v>
      </c>
      <c r="AD3">
        <v>-5.6445788060733616E-4</v>
      </c>
      <c r="AE3">
        <v>-6.1648113873945427E-3</v>
      </c>
    </row>
    <row r="4" spans="1:31" x14ac:dyDescent="0.2">
      <c r="A4" t="s">
        <v>101</v>
      </c>
      <c r="B4">
        <v>0.79410640300768798</v>
      </c>
      <c r="C4">
        <v>1.4096413198381424E-3</v>
      </c>
      <c r="D4">
        <v>1.4377996320011448E-3</v>
      </c>
      <c r="E4">
        <v>1.3747063146241474E-2</v>
      </c>
      <c r="F4">
        <v>6.7119725552944581E-3</v>
      </c>
      <c r="G4">
        <v>1.257340131585468E-3</v>
      </c>
      <c r="H4">
        <v>-8.3549109454234905E-4</v>
      </c>
      <c r="I4">
        <v>4.9667440642900526E-4</v>
      </c>
      <c r="J4">
        <v>-1.3027514955096689E-4</v>
      </c>
      <c r="K4">
        <v>-4.289063236324188E-5</v>
      </c>
      <c r="L4">
        <v>-3.3635431914613324E-6</v>
      </c>
      <c r="M4">
        <v>-9.4084818755374496E-5</v>
      </c>
      <c r="N4">
        <v>-3.5906863639360268E-4</v>
      </c>
      <c r="O4">
        <v>-1.2381464190399829E-3</v>
      </c>
      <c r="P4">
        <v>-2.0256890336497438E-4</v>
      </c>
      <c r="Q4">
        <v>-9.3173845638640056E-4</v>
      </c>
      <c r="R4">
        <v>-7.5293934578941186E-4</v>
      </c>
      <c r="S4">
        <v>-1.4961011088904003E-3</v>
      </c>
      <c r="T4">
        <v>-1.271395076127071E-3</v>
      </c>
      <c r="U4">
        <v>-1.0426950870062296E-3</v>
      </c>
      <c r="V4">
        <v>-4.0248759463001492E-4</v>
      </c>
      <c r="W4">
        <v>-1.2595874730771221E-3</v>
      </c>
      <c r="X4">
        <v>-3.8488614739277905E-4</v>
      </c>
      <c r="Y4">
        <v>-8.032709653509027E-5</v>
      </c>
      <c r="Z4">
        <v>5.1251635515521033E-4</v>
      </c>
      <c r="AA4">
        <v>-2.463603701976741E-4</v>
      </c>
      <c r="AB4">
        <v>-1.6321297019726614E-3</v>
      </c>
      <c r="AC4">
        <v>8.6532557701103142E-4</v>
      </c>
      <c r="AD4">
        <v>-1.45801438580355E-3</v>
      </c>
      <c r="AE4">
        <v>-2.8090171653944208E-3</v>
      </c>
    </row>
    <row r="5" spans="1:31" x14ac:dyDescent="0.2">
      <c r="A5" t="s">
        <v>102</v>
      </c>
      <c r="B5">
        <v>0.60458273404654383</v>
      </c>
      <c r="C5">
        <v>8.6451883532648538E-4</v>
      </c>
      <c r="D5">
        <v>1.6699542133365784E-3</v>
      </c>
      <c r="E5">
        <v>6.7119725552944581E-3</v>
      </c>
      <c r="F5">
        <v>9.465135345957389E-3</v>
      </c>
      <c r="G5">
        <v>5.4565994041535777E-4</v>
      </c>
      <c r="H5">
        <v>-1.0731632511635776E-4</v>
      </c>
      <c r="I5">
        <v>1.4187576388260097E-5</v>
      </c>
      <c r="J5">
        <v>-1.0609640373926209E-3</v>
      </c>
      <c r="K5">
        <v>-2.5871873079282187E-5</v>
      </c>
      <c r="L5">
        <v>-3.2082984016120996E-5</v>
      </c>
      <c r="M5">
        <v>-3.4072950933626908E-5</v>
      </c>
      <c r="N5">
        <v>-1.1677392857101449E-4</v>
      </c>
      <c r="O5">
        <v>-4.6094353141546513E-4</v>
      </c>
      <c r="P5">
        <v>-2.7840969386657062E-4</v>
      </c>
      <c r="Q5">
        <v>2.0303398867849501E-5</v>
      </c>
      <c r="R5">
        <v>-2.4880700030244273E-4</v>
      </c>
      <c r="S5">
        <v>-3.8577260674324326E-4</v>
      </c>
      <c r="T5">
        <v>-9.9558240433817629E-4</v>
      </c>
      <c r="U5">
        <v>-6.0340469453763236E-4</v>
      </c>
      <c r="V5">
        <v>-2.6816336773750546E-4</v>
      </c>
      <c r="W5">
        <v>-5.2004210309831078E-4</v>
      </c>
      <c r="X5">
        <v>2.98523589709534E-4</v>
      </c>
      <c r="Y5">
        <v>-5.1865907981974498E-5</v>
      </c>
      <c r="Z5">
        <v>-1.5365798966055703E-4</v>
      </c>
      <c r="AA5">
        <v>-1.8351524443150312E-5</v>
      </c>
      <c r="AB5">
        <v>-1.2114965120786875E-4</v>
      </c>
      <c r="AC5">
        <v>1.2210820356457433E-4</v>
      </c>
      <c r="AD5">
        <v>-1.6731959814988929E-3</v>
      </c>
      <c r="AE5">
        <v>-3.1110007212267871E-3</v>
      </c>
    </row>
    <row r="6" spans="1:31" x14ac:dyDescent="0.2">
      <c r="A6" t="s">
        <v>81</v>
      </c>
      <c r="B6">
        <v>-1.1673514878134148</v>
      </c>
      <c r="C6">
        <v>4.6142078480439588E-4</v>
      </c>
      <c r="D6">
        <v>1.3479871355391007E-3</v>
      </c>
      <c r="E6">
        <v>1.257340131585468E-3</v>
      </c>
      <c r="F6">
        <v>5.4565994041535777E-4</v>
      </c>
      <c r="G6">
        <v>1.033399768781202E-2</v>
      </c>
      <c r="H6">
        <v>-3.5356808390403505E-5</v>
      </c>
      <c r="I6">
        <v>-1.1588835785661239E-3</v>
      </c>
      <c r="J6">
        <v>-1.5868141698772362E-3</v>
      </c>
      <c r="K6">
        <v>1.1975281135467724E-4</v>
      </c>
      <c r="L6">
        <v>9.4471121148075022E-5</v>
      </c>
      <c r="M6">
        <v>6.5412693435603909E-6</v>
      </c>
      <c r="N6">
        <v>-1.1019826787863783E-3</v>
      </c>
      <c r="O6">
        <v>-7.7783414438956956E-4</v>
      </c>
      <c r="P6">
        <v>-1.1911745398580963E-3</v>
      </c>
      <c r="Q6">
        <v>-4.9450681600584148E-4</v>
      </c>
      <c r="R6">
        <v>-3.8680277424975144E-4</v>
      </c>
      <c r="S6">
        <v>-7.1116421831658901E-4</v>
      </c>
      <c r="T6">
        <v>-6.1992646127226585E-4</v>
      </c>
      <c r="U6">
        <v>-6.2480277410359528E-4</v>
      </c>
      <c r="V6">
        <v>-2.5101501714178652E-4</v>
      </c>
      <c r="W6">
        <v>-1.0136201022766869E-3</v>
      </c>
      <c r="X6">
        <v>-6.7081184716885622E-4</v>
      </c>
      <c r="Y6">
        <v>-1.9569499723100237E-6</v>
      </c>
      <c r="Z6">
        <v>5.9178246688094179E-4</v>
      </c>
      <c r="AA6">
        <v>3.2814852203344864E-4</v>
      </c>
      <c r="AB6">
        <v>-1.7669226632701499E-3</v>
      </c>
      <c r="AC6">
        <v>-2.7929567295290357E-4</v>
      </c>
      <c r="AD6">
        <v>-1.253387564039862E-3</v>
      </c>
      <c r="AE6">
        <v>-1.3622328552918134E-2</v>
      </c>
    </row>
    <row r="7" spans="1:31" x14ac:dyDescent="0.2">
      <c r="A7" t="s">
        <v>83</v>
      </c>
      <c r="B7">
        <v>7.197745368309931E-2</v>
      </c>
      <c r="C7">
        <v>-1.5188092522235548E-3</v>
      </c>
      <c r="D7">
        <v>1.0191149507753784E-3</v>
      </c>
      <c r="E7">
        <v>-8.3549109454234905E-4</v>
      </c>
      <c r="F7">
        <v>-1.0731632511635776E-4</v>
      </c>
      <c r="G7">
        <v>-3.5356808390403505E-5</v>
      </c>
      <c r="H7">
        <v>5.3292957575046845E-2</v>
      </c>
      <c r="I7">
        <v>1.7933572902584113E-3</v>
      </c>
      <c r="J7">
        <v>1.955370740616939E-3</v>
      </c>
      <c r="K7">
        <v>-2.7012031453335499E-5</v>
      </c>
      <c r="L7">
        <v>3.8377401375202499E-5</v>
      </c>
      <c r="M7">
        <v>-6.9365727498975025E-6</v>
      </c>
      <c r="N7">
        <v>2.5402372177803808E-3</v>
      </c>
      <c r="O7">
        <v>2.9608869597252544E-3</v>
      </c>
      <c r="P7">
        <v>2.4998468177617151E-3</v>
      </c>
      <c r="Q7">
        <v>2.3889798362453111E-3</v>
      </c>
      <c r="R7">
        <v>1.9166356675014923E-3</v>
      </c>
      <c r="S7">
        <v>2.0087588685384098E-3</v>
      </c>
      <c r="T7">
        <v>2.2213670589195733E-3</v>
      </c>
      <c r="U7">
        <v>3.3549028169334565E-3</v>
      </c>
      <c r="V7">
        <v>1.9756600874572053E-3</v>
      </c>
      <c r="W7">
        <v>2.3337128736394069E-3</v>
      </c>
      <c r="X7">
        <v>2.284499326915762E-3</v>
      </c>
      <c r="Y7">
        <v>5.2164999695738785E-6</v>
      </c>
      <c r="Z7">
        <v>1.9501763014156048E-4</v>
      </c>
      <c r="AA7">
        <v>-6.4688032176740901E-4</v>
      </c>
      <c r="AB7">
        <v>-5.0619835415700492E-3</v>
      </c>
      <c r="AC7">
        <v>1.8197575996036924E-3</v>
      </c>
      <c r="AD7">
        <v>1.3009075990543556E-3</v>
      </c>
      <c r="AE7">
        <v>-4.4001471374492561E-3</v>
      </c>
    </row>
    <row r="8" spans="1:31" x14ac:dyDescent="0.2">
      <c r="A8" t="s">
        <v>84</v>
      </c>
      <c r="B8">
        <v>2.8802886463122103E-2</v>
      </c>
      <c r="C8">
        <v>8.546270980591327E-4</v>
      </c>
      <c r="D8">
        <v>-5.6838727385172825E-4</v>
      </c>
      <c r="E8">
        <v>4.9667440642900526E-4</v>
      </c>
      <c r="F8">
        <v>1.4187576388260097E-5</v>
      </c>
      <c r="G8">
        <v>-1.1588835785661239E-3</v>
      </c>
      <c r="H8">
        <v>1.7933572902584113E-3</v>
      </c>
      <c r="I8">
        <v>9.1823627346173595E-3</v>
      </c>
      <c r="J8">
        <v>3.2380855196687385E-3</v>
      </c>
      <c r="K8">
        <v>3.4343536131710607E-5</v>
      </c>
      <c r="L8">
        <v>3.1749198681861582E-5</v>
      </c>
      <c r="M8">
        <v>-8.1743052669761801E-6</v>
      </c>
      <c r="N8">
        <v>-1.4358191524082037E-3</v>
      </c>
      <c r="O8">
        <v>-1.0680956730261225E-3</v>
      </c>
      <c r="P8">
        <v>-1.7956393773060951E-4</v>
      </c>
      <c r="Q8">
        <v>-6.7880911096228781E-4</v>
      </c>
      <c r="R8">
        <v>-3.232676927408906E-4</v>
      </c>
      <c r="S8">
        <v>-6.2293309144048539E-4</v>
      </c>
      <c r="T8">
        <v>-8.8944640149204958E-4</v>
      </c>
      <c r="U8">
        <v>-6.5094445588865938E-4</v>
      </c>
      <c r="V8">
        <v>-5.5401497835906068E-4</v>
      </c>
      <c r="W8">
        <v>1.5800580818586688E-4</v>
      </c>
      <c r="X8">
        <v>-6.2502832009021098E-4</v>
      </c>
      <c r="Y8">
        <v>1.2189515250520899E-4</v>
      </c>
      <c r="Z8">
        <v>-8.3827246003348303E-4</v>
      </c>
      <c r="AA8">
        <v>-7.1277165656066311E-4</v>
      </c>
      <c r="AB8">
        <v>1.0367049840395333E-3</v>
      </c>
      <c r="AC8">
        <v>-2.5418085978305932E-3</v>
      </c>
      <c r="AD8">
        <v>-3.3907291678793999E-3</v>
      </c>
      <c r="AE8">
        <v>-6.7741559097202727E-3</v>
      </c>
    </row>
    <row r="9" spans="1:31" x14ac:dyDescent="0.2">
      <c r="A9" t="s">
        <v>107</v>
      </c>
      <c r="B9">
        <v>0.25579165508003499</v>
      </c>
      <c r="C9">
        <v>3.388437209526779E-4</v>
      </c>
      <c r="D9">
        <v>-1.2013195350039372E-3</v>
      </c>
      <c r="E9">
        <v>-1.3027514955096689E-4</v>
      </c>
      <c r="F9">
        <v>-1.0609640373926209E-3</v>
      </c>
      <c r="G9">
        <v>-1.5868141698772362E-3</v>
      </c>
      <c r="H9">
        <v>1.955370740616939E-3</v>
      </c>
      <c r="I9">
        <v>3.2380855196687385E-3</v>
      </c>
      <c r="J9">
        <v>0.25291843104953388</v>
      </c>
      <c r="K9">
        <v>1.100728657203321E-4</v>
      </c>
      <c r="L9">
        <v>7.9819377965474879E-5</v>
      </c>
      <c r="M9">
        <v>1.0707169896805137E-5</v>
      </c>
      <c r="N9">
        <v>3.6442442799968673E-3</v>
      </c>
      <c r="O9">
        <v>2.1426345624054235E-3</v>
      </c>
      <c r="P9">
        <v>-6.3999412133753405E-4</v>
      </c>
      <c r="Q9">
        <v>3.2013350161405412E-3</v>
      </c>
      <c r="R9">
        <v>2.5502583768530667E-3</v>
      </c>
      <c r="S9">
        <v>1.123178676481698E-3</v>
      </c>
      <c r="T9">
        <v>1.7339219182277328E-3</v>
      </c>
      <c r="U9">
        <v>3.602374111280593E-3</v>
      </c>
      <c r="V9">
        <v>4.250106015667829E-3</v>
      </c>
      <c r="W9">
        <v>3.3560422630877929E-3</v>
      </c>
      <c r="X9">
        <v>2.3067351475891092E-3</v>
      </c>
      <c r="Y9">
        <v>-7.8163839840068926E-5</v>
      </c>
      <c r="Z9">
        <v>1.7157078927361711E-3</v>
      </c>
      <c r="AA9">
        <v>1.1983671604213347E-3</v>
      </c>
      <c r="AB9">
        <v>-1.3172228120890399E-3</v>
      </c>
      <c r="AC9">
        <v>-1.2552229432886688E-2</v>
      </c>
      <c r="AD9">
        <v>-7.9892611761089426E-3</v>
      </c>
      <c r="AE9">
        <v>-1.1163621844101615E-2</v>
      </c>
    </row>
    <row r="10" spans="1:31" x14ac:dyDescent="0.2">
      <c r="A10" t="s">
        <v>69</v>
      </c>
      <c r="B10">
        <v>3.9247229653126383E-3</v>
      </c>
      <c r="C10">
        <v>3.6735303403715353E-5</v>
      </c>
      <c r="D10">
        <v>5.754140812465564E-6</v>
      </c>
      <c r="E10">
        <v>-4.289063236324188E-5</v>
      </c>
      <c r="F10">
        <v>-2.5871873079282187E-5</v>
      </c>
      <c r="G10">
        <v>1.1975281135467724E-4</v>
      </c>
      <c r="H10">
        <v>-2.7012031453335499E-5</v>
      </c>
      <c r="I10">
        <v>3.4343536131710607E-5</v>
      </c>
      <c r="J10">
        <v>1.100728657203321E-4</v>
      </c>
      <c r="K10">
        <v>1.5075845228486186E-5</v>
      </c>
      <c r="L10">
        <v>1.9952740736236949E-7</v>
      </c>
      <c r="M10">
        <v>-1.6651409420628361E-6</v>
      </c>
      <c r="N10">
        <v>1.171230443969848E-6</v>
      </c>
      <c r="O10">
        <v>-2.7321330617981145E-5</v>
      </c>
      <c r="P10">
        <v>-7.7853134288275691E-5</v>
      </c>
      <c r="Q10">
        <v>-3.3107360890813375E-5</v>
      </c>
      <c r="R10">
        <v>-4.8265743928764077E-5</v>
      </c>
      <c r="S10">
        <v>-3.7245685278509163E-5</v>
      </c>
      <c r="T10">
        <v>-5.5849834103623586E-5</v>
      </c>
      <c r="U10">
        <v>-5.1486078135950836E-5</v>
      </c>
      <c r="V10">
        <v>-1.074703179541382E-5</v>
      </c>
      <c r="W10">
        <v>-5.776217987955558E-5</v>
      </c>
      <c r="X10">
        <v>-2.8959781790665359E-5</v>
      </c>
      <c r="Y10">
        <v>-2.0434940174858215E-7</v>
      </c>
      <c r="Z10">
        <v>8.549076878260894E-6</v>
      </c>
      <c r="AA10">
        <v>1.2373660391154618E-5</v>
      </c>
      <c r="AB10">
        <v>4.0988381118781765E-5</v>
      </c>
      <c r="AC10">
        <v>-3.9037846252163491E-5</v>
      </c>
      <c r="AD10">
        <v>6.8025199649851922E-6</v>
      </c>
      <c r="AE10">
        <v>-6.9695971591720023E-4</v>
      </c>
    </row>
    <row r="11" spans="1:31" x14ac:dyDescent="0.2">
      <c r="A11" t="s">
        <v>70</v>
      </c>
      <c r="B11">
        <v>3.7619526794090059E-3</v>
      </c>
      <c r="C11">
        <v>-1.9138151699122877E-5</v>
      </c>
      <c r="D11">
        <v>-5.9174423123706557E-5</v>
      </c>
      <c r="E11">
        <v>-3.3635431914613324E-6</v>
      </c>
      <c r="F11">
        <v>-3.2082984016120996E-5</v>
      </c>
      <c r="G11">
        <v>9.4471121148075022E-5</v>
      </c>
      <c r="H11">
        <v>3.8377401375202499E-5</v>
      </c>
      <c r="I11">
        <v>3.1749198681861582E-5</v>
      </c>
      <c r="J11">
        <v>7.9819377965474879E-5</v>
      </c>
      <c r="K11">
        <v>1.9952740736236949E-7</v>
      </c>
      <c r="L11">
        <v>1.9525887572552822E-5</v>
      </c>
      <c r="M11">
        <v>-3.5846815262748802E-7</v>
      </c>
      <c r="N11">
        <v>-1.347546478208696E-4</v>
      </c>
      <c r="O11">
        <v>-9.446106323225033E-5</v>
      </c>
      <c r="P11">
        <v>-1.3710539460935831E-4</v>
      </c>
      <c r="Q11">
        <v>-8.2031911844092625E-5</v>
      </c>
      <c r="R11">
        <v>-1.1709481137791412E-4</v>
      </c>
      <c r="S11">
        <v>-9.4625653686432657E-5</v>
      </c>
      <c r="T11">
        <v>-9.2513569375081059E-5</v>
      </c>
      <c r="U11">
        <v>-1.0271391939565568E-4</v>
      </c>
      <c r="V11">
        <v>-8.476732735086714E-5</v>
      </c>
      <c r="W11">
        <v>-1.1200440324342657E-4</v>
      </c>
      <c r="X11">
        <v>-1.1535533501410384E-4</v>
      </c>
      <c r="Y11">
        <v>5.042304408543535E-6</v>
      </c>
      <c r="Z11">
        <v>-1.3175476193669059E-5</v>
      </c>
      <c r="AA11">
        <v>-1.6221571520535005E-5</v>
      </c>
      <c r="AB11">
        <v>2.8747867586285556E-6</v>
      </c>
      <c r="AC11">
        <v>-8.7978968395944113E-5</v>
      </c>
      <c r="AD11">
        <v>-3.2966206981422774E-5</v>
      </c>
      <c r="AE11">
        <v>-9.4813997241722657E-4</v>
      </c>
    </row>
    <row r="12" spans="1:31" x14ac:dyDescent="0.2">
      <c r="A12" t="s">
        <v>109</v>
      </c>
      <c r="B12">
        <v>4.3469925592013068E-3</v>
      </c>
      <c r="C12">
        <v>-3.9617751019052615E-5</v>
      </c>
      <c r="D12">
        <v>4.834732625784524E-5</v>
      </c>
      <c r="E12">
        <v>-9.4084818755374496E-5</v>
      </c>
      <c r="F12">
        <v>-3.4072950933626908E-5</v>
      </c>
      <c r="G12">
        <v>6.5412693435603909E-6</v>
      </c>
      <c r="H12">
        <v>-6.9365727498975025E-6</v>
      </c>
      <c r="I12">
        <v>-8.1743052669761801E-6</v>
      </c>
      <c r="J12">
        <v>1.0707169896805137E-5</v>
      </c>
      <c r="K12">
        <v>-1.6651409420628361E-6</v>
      </c>
      <c r="L12">
        <v>-3.5846815262748802E-7</v>
      </c>
      <c r="M12">
        <v>1.3685351004695965E-5</v>
      </c>
      <c r="N12">
        <v>8.3650671433639333E-5</v>
      </c>
      <c r="O12">
        <v>6.6038503702281592E-5</v>
      </c>
      <c r="P12">
        <v>5.3222708760309136E-5</v>
      </c>
      <c r="Q12">
        <v>7.1891035347313204E-5</v>
      </c>
      <c r="R12">
        <v>5.0543851911690708E-5</v>
      </c>
      <c r="S12">
        <v>5.2987379662071448E-5</v>
      </c>
      <c r="T12">
        <v>6.6512508251790917E-5</v>
      </c>
      <c r="U12">
        <v>6.475580190945995E-5</v>
      </c>
      <c r="V12">
        <v>8.4153004764701497E-5</v>
      </c>
      <c r="W12">
        <v>5.2372088991127448E-5</v>
      </c>
      <c r="X12">
        <v>7.0874544250281533E-5</v>
      </c>
      <c r="Y12">
        <v>-2.8693980256446521E-7</v>
      </c>
      <c r="Z12">
        <v>-4.3025178640350006E-6</v>
      </c>
      <c r="AA12">
        <v>2.6082449105198592E-5</v>
      </c>
      <c r="AB12">
        <v>4.226200103604964E-5</v>
      </c>
      <c r="AC12">
        <v>4.834978493185513E-5</v>
      </c>
      <c r="AD12">
        <v>1.0374702983670421E-4</v>
      </c>
      <c r="AE12">
        <v>-1.0214480186188386E-4</v>
      </c>
    </row>
    <row r="13" spans="1:31" x14ac:dyDescent="0.2">
      <c r="A13" t="s">
        <v>85</v>
      </c>
      <c r="B13">
        <v>5.9541999878816997E-2</v>
      </c>
      <c r="C13">
        <v>1.4772122542771433E-4</v>
      </c>
      <c r="D13">
        <v>2.9064105868808394E-3</v>
      </c>
      <c r="E13">
        <v>-3.5906863639360268E-4</v>
      </c>
      <c r="F13">
        <v>-1.1677392857101449E-4</v>
      </c>
      <c r="G13">
        <v>-1.1019826787863783E-3</v>
      </c>
      <c r="H13">
        <v>2.5402372177803808E-3</v>
      </c>
      <c r="I13">
        <v>-1.4358191524082037E-3</v>
      </c>
      <c r="J13">
        <v>3.6442442799968673E-3</v>
      </c>
      <c r="K13">
        <v>1.171230443969848E-6</v>
      </c>
      <c r="L13">
        <v>-1.347546478208696E-4</v>
      </c>
      <c r="M13">
        <v>8.3650671433639333E-5</v>
      </c>
      <c r="N13">
        <v>6.8957308161458675E-2</v>
      </c>
      <c r="O13">
        <v>3.1010440261237313E-2</v>
      </c>
      <c r="P13">
        <v>3.0776255374612461E-2</v>
      </c>
      <c r="Q13">
        <v>3.1174592593950917E-2</v>
      </c>
      <c r="R13">
        <v>3.0387589662834846E-2</v>
      </c>
      <c r="S13">
        <v>3.0704906926473624E-2</v>
      </c>
      <c r="T13">
        <v>3.1179717329934763E-2</v>
      </c>
      <c r="U13">
        <v>3.1228763033885484E-2</v>
      </c>
      <c r="V13">
        <v>3.1346957098345091E-2</v>
      </c>
      <c r="W13">
        <v>3.1198324984202604E-2</v>
      </c>
      <c r="X13">
        <v>3.1464846280012171E-2</v>
      </c>
      <c r="Y13">
        <v>-2.1554517492284415E-4</v>
      </c>
      <c r="Z13">
        <v>2.8997791954143079E-3</v>
      </c>
      <c r="AA13">
        <v>5.0295738353076788E-3</v>
      </c>
      <c r="AB13">
        <v>1.3859092419142518E-2</v>
      </c>
      <c r="AC13">
        <v>1.9323433472349414E-2</v>
      </c>
      <c r="AD13">
        <v>8.3651651182033888E-3</v>
      </c>
      <c r="AE13">
        <v>-2.3253570119061012E-2</v>
      </c>
    </row>
    <row r="14" spans="1:31" x14ac:dyDescent="0.2">
      <c r="A14" t="s">
        <v>86</v>
      </c>
      <c r="B14">
        <v>0.22558555568116789</v>
      </c>
      <c r="C14">
        <v>-7.6708561412612954E-4</v>
      </c>
      <c r="D14">
        <v>1.2854829718093115E-3</v>
      </c>
      <c r="E14">
        <v>-1.2381464190399829E-3</v>
      </c>
      <c r="F14">
        <v>-4.6094353141546513E-4</v>
      </c>
      <c r="G14">
        <v>-7.7783414438956956E-4</v>
      </c>
      <c r="H14">
        <v>2.9608869597252544E-3</v>
      </c>
      <c r="I14">
        <v>-1.0680956730261225E-3</v>
      </c>
      <c r="J14">
        <v>2.1426345624054235E-3</v>
      </c>
      <c r="K14">
        <v>-2.7321330617981145E-5</v>
      </c>
      <c r="L14">
        <v>-9.446106323225033E-5</v>
      </c>
      <c r="M14">
        <v>6.6038503702281592E-5</v>
      </c>
      <c r="N14">
        <v>3.1010440261237313E-2</v>
      </c>
      <c r="O14">
        <v>4.3782892710806293E-2</v>
      </c>
      <c r="P14">
        <v>3.0102050180530547E-2</v>
      </c>
      <c r="Q14">
        <v>3.0553741417861775E-2</v>
      </c>
      <c r="R14">
        <v>2.9940517371521924E-2</v>
      </c>
      <c r="S14">
        <v>3.0237618973724702E-2</v>
      </c>
      <c r="T14">
        <v>3.0763005168561456E-2</v>
      </c>
      <c r="U14">
        <v>3.0719884553572538E-2</v>
      </c>
      <c r="V14">
        <v>3.047767911779474E-2</v>
      </c>
      <c r="W14">
        <v>3.0502016653641151E-2</v>
      </c>
      <c r="X14">
        <v>3.0722186604069147E-2</v>
      </c>
      <c r="Y14">
        <v>-2.7708304259417733E-4</v>
      </c>
      <c r="Z14">
        <v>3.142610665788104E-3</v>
      </c>
      <c r="AA14">
        <v>2.0885617383254252E-3</v>
      </c>
      <c r="AB14">
        <v>1.2848507885054979E-2</v>
      </c>
      <c r="AC14">
        <v>1.8668400827405441E-2</v>
      </c>
      <c r="AD14">
        <v>7.6203028992377214E-3</v>
      </c>
      <c r="AE14">
        <v>-2.0344571869119612E-2</v>
      </c>
    </row>
    <row r="15" spans="1:31" x14ac:dyDescent="0.2">
      <c r="A15" t="s">
        <v>87</v>
      </c>
      <c r="B15">
        <v>0.21967315322539233</v>
      </c>
      <c r="C15">
        <v>-3.634552477113697E-4</v>
      </c>
      <c r="D15">
        <v>2.130784953834489E-3</v>
      </c>
      <c r="E15">
        <v>-2.0256890336497438E-4</v>
      </c>
      <c r="F15">
        <v>-2.7840969386657062E-4</v>
      </c>
      <c r="G15">
        <v>-1.1911745398580963E-3</v>
      </c>
      <c r="H15">
        <v>2.4998468177617151E-3</v>
      </c>
      <c r="I15">
        <v>-1.7956393773060951E-4</v>
      </c>
      <c r="J15">
        <v>-6.3999412133753405E-4</v>
      </c>
      <c r="K15">
        <v>-7.7853134288275691E-5</v>
      </c>
      <c r="L15">
        <v>-1.3710539460935831E-4</v>
      </c>
      <c r="M15">
        <v>5.3222708760309136E-5</v>
      </c>
      <c r="N15">
        <v>3.0776255374612461E-2</v>
      </c>
      <c r="O15">
        <v>3.0102050180530547E-2</v>
      </c>
      <c r="P15">
        <v>5.2767153078474793E-2</v>
      </c>
      <c r="Q15">
        <v>3.0506457086719969E-2</v>
      </c>
      <c r="R15">
        <v>3.0109937252391077E-2</v>
      </c>
      <c r="S15">
        <v>3.0121348412160836E-2</v>
      </c>
      <c r="T15">
        <v>3.0768973198202858E-2</v>
      </c>
      <c r="U15">
        <v>3.0696987434946775E-2</v>
      </c>
      <c r="V15">
        <v>3.0337799796829518E-2</v>
      </c>
      <c r="W15">
        <v>3.0511818272036681E-2</v>
      </c>
      <c r="X15">
        <v>3.0729111079747139E-2</v>
      </c>
      <c r="Y15">
        <v>-1.2383908170350132E-4</v>
      </c>
      <c r="Z15">
        <v>1.4230942110800403E-3</v>
      </c>
      <c r="AA15">
        <v>9.4413839352060485E-4</v>
      </c>
      <c r="AB15">
        <v>1.1688674775534898E-2</v>
      </c>
      <c r="AC15">
        <v>1.7638981602167009E-2</v>
      </c>
      <c r="AD15">
        <v>5.1576277098041405E-3</v>
      </c>
      <c r="AE15">
        <v>-1.9104687002496568E-2</v>
      </c>
    </row>
    <row r="16" spans="1:31" x14ac:dyDescent="0.2">
      <c r="A16" t="s">
        <v>88</v>
      </c>
      <c r="B16">
        <v>0.11930619595063881</v>
      </c>
      <c r="C16">
        <v>-1.2996608193042399E-3</v>
      </c>
      <c r="D16">
        <v>1.4210324345818358E-3</v>
      </c>
      <c r="E16">
        <v>-9.3173845638640056E-4</v>
      </c>
      <c r="F16">
        <v>2.0303398867849501E-5</v>
      </c>
      <c r="G16">
        <v>-4.9450681600584148E-4</v>
      </c>
      <c r="H16">
        <v>2.3889798362453111E-3</v>
      </c>
      <c r="I16">
        <v>-6.7880911096228781E-4</v>
      </c>
      <c r="J16">
        <v>3.2013350161405412E-3</v>
      </c>
      <c r="K16">
        <v>-3.3107360890813375E-5</v>
      </c>
      <c r="L16">
        <v>-8.2031911844092625E-5</v>
      </c>
      <c r="M16">
        <v>7.1891035347313204E-5</v>
      </c>
      <c r="N16">
        <v>3.1174592593950917E-2</v>
      </c>
      <c r="O16">
        <v>3.0553741417861775E-2</v>
      </c>
      <c r="P16">
        <v>3.0506457086719969E-2</v>
      </c>
      <c r="Q16">
        <v>5.0903229752524495E-2</v>
      </c>
      <c r="R16">
        <v>3.0367109056479366E-2</v>
      </c>
      <c r="S16">
        <v>3.0528777827671258E-2</v>
      </c>
      <c r="T16">
        <v>3.0961979360716721E-2</v>
      </c>
      <c r="U16">
        <v>3.1041568166883263E-2</v>
      </c>
      <c r="V16">
        <v>3.0924906365841675E-2</v>
      </c>
      <c r="W16">
        <v>3.1003278843662548E-2</v>
      </c>
      <c r="X16">
        <v>3.1160502588325707E-2</v>
      </c>
      <c r="Y16">
        <v>-2.7159287140668289E-4</v>
      </c>
      <c r="Z16">
        <v>1.8612366277093581E-3</v>
      </c>
      <c r="AA16">
        <v>1.9330359484744197E-3</v>
      </c>
      <c r="AB16">
        <v>1.6990802242780604E-2</v>
      </c>
      <c r="AC16">
        <v>1.8566534721804508E-2</v>
      </c>
      <c r="AD16">
        <v>7.3558285480327789E-3</v>
      </c>
      <c r="AE16">
        <v>-2.1440599440716187E-2</v>
      </c>
    </row>
    <row r="17" spans="1:31" x14ac:dyDescent="0.2">
      <c r="A17" t="s">
        <v>89</v>
      </c>
      <c r="B17">
        <v>-0.12650521305217277</v>
      </c>
      <c r="C17">
        <v>-1.4385867940101631E-3</v>
      </c>
      <c r="D17">
        <v>1.2580378971169062E-3</v>
      </c>
      <c r="E17">
        <v>-7.5293934578941186E-4</v>
      </c>
      <c r="F17">
        <v>-2.4880700030244273E-4</v>
      </c>
      <c r="G17">
        <v>-3.8680277424975144E-4</v>
      </c>
      <c r="H17">
        <v>1.9166356675014923E-3</v>
      </c>
      <c r="I17">
        <v>-3.232676927408906E-4</v>
      </c>
      <c r="J17">
        <v>2.5502583768530667E-3</v>
      </c>
      <c r="K17">
        <v>-4.8265743928764077E-5</v>
      </c>
      <c r="L17">
        <v>-1.1709481137791412E-4</v>
      </c>
      <c r="M17">
        <v>5.0543851911690708E-5</v>
      </c>
      <c r="N17">
        <v>3.0387589662834846E-2</v>
      </c>
      <c r="O17">
        <v>2.9940517371521924E-2</v>
      </c>
      <c r="P17">
        <v>3.0109937252391077E-2</v>
      </c>
      <c r="Q17">
        <v>3.0367109056479366E-2</v>
      </c>
      <c r="R17">
        <v>5.0614666920888174E-2</v>
      </c>
      <c r="S17">
        <v>3.0085972449803815E-2</v>
      </c>
      <c r="T17">
        <v>3.0475351470596587E-2</v>
      </c>
      <c r="U17">
        <v>3.0484310686509121E-2</v>
      </c>
      <c r="V17">
        <v>3.0286905526271148E-2</v>
      </c>
      <c r="W17">
        <v>3.046315688254856E-2</v>
      </c>
      <c r="X17">
        <v>3.0571569338660301E-2</v>
      </c>
      <c r="Y17">
        <v>-1.1982894188734827E-4</v>
      </c>
      <c r="Z17">
        <v>1.7390884190471587E-3</v>
      </c>
      <c r="AA17">
        <v>-4.747308830422767E-5</v>
      </c>
      <c r="AB17">
        <v>1.1358425182250432E-2</v>
      </c>
      <c r="AC17">
        <v>1.641541106397662E-2</v>
      </c>
      <c r="AD17">
        <v>6.3602494164934804E-3</v>
      </c>
      <c r="AE17">
        <v>-2.0433566082218795E-2</v>
      </c>
    </row>
    <row r="18" spans="1:31" x14ac:dyDescent="0.2">
      <c r="A18" t="s">
        <v>90</v>
      </c>
      <c r="B18">
        <v>0.18489000921177265</v>
      </c>
      <c r="C18">
        <v>-1.1264501274798151E-3</v>
      </c>
      <c r="D18">
        <v>1.1508797758216236E-3</v>
      </c>
      <c r="E18">
        <v>-1.4961011088904003E-3</v>
      </c>
      <c r="F18">
        <v>-3.8577260674324326E-4</v>
      </c>
      <c r="G18">
        <v>-7.1116421831658901E-4</v>
      </c>
      <c r="H18">
        <v>2.0087588685384098E-3</v>
      </c>
      <c r="I18">
        <v>-6.2293309144048539E-4</v>
      </c>
      <c r="J18">
        <v>1.123178676481698E-3</v>
      </c>
      <c r="K18">
        <v>-3.7245685278509163E-5</v>
      </c>
      <c r="L18">
        <v>-9.4625653686432657E-5</v>
      </c>
      <c r="M18">
        <v>5.2987379662071448E-5</v>
      </c>
      <c r="N18">
        <v>3.0704906926473624E-2</v>
      </c>
      <c r="O18">
        <v>3.0237618973724702E-2</v>
      </c>
      <c r="P18">
        <v>3.0121348412160836E-2</v>
      </c>
      <c r="Q18">
        <v>3.0528777827671258E-2</v>
      </c>
      <c r="R18">
        <v>3.0085972449803815E-2</v>
      </c>
      <c r="S18">
        <v>4.4618907897774451E-2</v>
      </c>
      <c r="T18">
        <v>3.0742757922827872E-2</v>
      </c>
      <c r="U18">
        <v>3.0686597398576584E-2</v>
      </c>
      <c r="V18">
        <v>3.0447893161121661E-2</v>
      </c>
      <c r="W18">
        <v>3.0641678316739772E-2</v>
      </c>
      <c r="X18">
        <v>3.0711977247319094E-2</v>
      </c>
      <c r="Y18">
        <v>-2.7261063349103953E-4</v>
      </c>
      <c r="Z18">
        <v>2.1317884602863541E-3</v>
      </c>
      <c r="AA18">
        <v>1.8197530967749812E-3</v>
      </c>
      <c r="AB18">
        <v>1.3140777825899484E-2</v>
      </c>
      <c r="AC18">
        <v>1.680634748342788E-2</v>
      </c>
      <c r="AD18">
        <v>7.7593112049649943E-3</v>
      </c>
      <c r="AE18">
        <v>-1.9456015982597823E-2</v>
      </c>
    </row>
    <row r="19" spans="1:31" x14ac:dyDescent="0.2">
      <c r="A19" t="s">
        <v>91</v>
      </c>
      <c r="B19">
        <v>-9.0382990810539583E-3</v>
      </c>
      <c r="C19">
        <v>-5.9741982798991607E-4</v>
      </c>
      <c r="D19">
        <v>8.5809690039241864E-4</v>
      </c>
      <c r="E19">
        <v>-1.271395076127071E-3</v>
      </c>
      <c r="F19">
        <v>-9.9558240433817629E-4</v>
      </c>
      <c r="G19">
        <v>-6.1992646127226585E-4</v>
      </c>
      <c r="H19">
        <v>2.2213670589195733E-3</v>
      </c>
      <c r="I19">
        <v>-8.8944640149204958E-4</v>
      </c>
      <c r="J19">
        <v>1.7339219182277328E-3</v>
      </c>
      <c r="K19">
        <v>-5.5849834103623586E-5</v>
      </c>
      <c r="L19">
        <v>-9.2513569375081059E-5</v>
      </c>
      <c r="M19">
        <v>6.6512508251790917E-5</v>
      </c>
      <c r="N19">
        <v>3.1179717329934763E-2</v>
      </c>
      <c r="O19">
        <v>3.0763005168561456E-2</v>
      </c>
      <c r="P19">
        <v>3.0768973198202858E-2</v>
      </c>
      <c r="Q19">
        <v>3.0961979360716721E-2</v>
      </c>
      <c r="R19">
        <v>3.0475351470596587E-2</v>
      </c>
      <c r="S19">
        <v>3.0742757922827872E-2</v>
      </c>
      <c r="T19">
        <v>4.196029145882766E-2</v>
      </c>
      <c r="U19">
        <v>3.1199298139799221E-2</v>
      </c>
      <c r="V19">
        <v>3.1005338411664491E-2</v>
      </c>
      <c r="W19">
        <v>3.1125334564856187E-2</v>
      </c>
      <c r="X19">
        <v>3.1168587148781762E-2</v>
      </c>
      <c r="Y19">
        <v>-2.6419002401913334E-4</v>
      </c>
      <c r="Z19">
        <v>2.3722738082053241E-3</v>
      </c>
      <c r="AA19">
        <v>1.7833684758711197E-3</v>
      </c>
      <c r="AB19">
        <v>1.3121019827300854E-2</v>
      </c>
      <c r="AC19">
        <v>1.7703985798227847E-2</v>
      </c>
      <c r="AD19">
        <v>6.7207432951217928E-3</v>
      </c>
      <c r="AE19">
        <v>-1.9423829304471028E-2</v>
      </c>
    </row>
    <row r="20" spans="1:31" x14ac:dyDescent="0.2">
      <c r="A20" t="s">
        <v>92</v>
      </c>
      <c r="B20">
        <v>-7.0996551267898902E-2</v>
      </c>
      <c r="C20">
        <v>-5.8240176948664603E-4</v>
      </c>
      <c r="D20">
        <v>1.2867188988461829E-3</v>
      </c>
      <c r="E20">
        <v>-1.0426950870062296E-3</v>
      </c>
      <c r="F20">
        <v>-6.0340469453763236E-4</v>
      </c>
      <c r="G20">
        <v>-6.2480277410359528E-4</v>
      </c>
      <c r="H20">
        <v>3.3549028169334565E-3</v>
      </c>
      <c r="I20">
        <v>-6.5094445588865938E-4</v>
      </c>
      <c r="J20">
        <v>3.602374111280593E-3</v>
      </c>
      <c r="K20">
        <v>-5.1486078135950836E-5</v>
      </c>
      <c r="L20">
        <v>-1.0271391939565568E-4</v>
      </c>
      <c r="M20">
        <v>6.475580190945995E-5</v>
      </c>
      <c r="N20">
        <v>3.1228763033885484E-2</v>
      </c>
      <c r="O20">
        <v>3.0719884553572538E-2</v>
      </c>
      <c r="P20">
        <v>3.0696987434946775E-2</v>
      </c>
      <c r="Q20">
        <v>3.1041568166883263E-2</v>
      </c>
      <c r="R20">
        <v>3.0484310686509121E-2</v>
      </c>
      <c r="S20">
        <v>3.0686597398576584E-2</v>
      </c>
      <c r="T20">
        <v>3.1199298139799221E-2</v>
      </c>
      <c r="U20">
        <v>4.5680309384297783E-2</v>
      </c>
      <c r="V20">
        <v>3.0972509559998605E-2</v>
      </c>
      <c r="W20">
        <v>3.114244120043641E-2</v>
      </c>
      <c r="X20">
        <v>3.1188313486237688E-2</v>
      </c>
      <c r="Y20">
        <v>-2.1888443109164104E-4</v>
      </c>
      <c r="Z20">
        <v>2.7289357655805101E-3</v>
      </c>
      <c r="AA20">
        <v>1.9067060857950744E-3</v>
      </c>
      <c r="AB20">
        <v>1.4397549751910254E-2</v>
      </c>
      <c r="AC20">
        <v>1.8229062902306307E-2</v>
      </c>
      <c r="AD20">
        <v>5.5327598782864435E-3</v>
      </c>
      <c r="AE20">
        <v>-2.0421153399174868E-2</v>
      </c>
    </row>
    <row r="21" spans="1:31" x14ac:dyDescent="0.2">
      <c r="A21" t="s">
        <v>93</v>
      </c>
      <c r="B21">
        <v>-1.3661630081886944E-2</v>
      </c>
      <c r="C21">
        <v>-9.7035459270419658E-4</v>
      </c>
      <c r="D21">
        <v>1.7986765909663123E-3</v>
      </c>
      <c r="E21">
        <v>-4.0248759463001492E-4</v>
      </c>
      <c r="F21">
        <v>-2.6816336773750546E-4</v>
      </c>
      <c r="G21">
        <v>-2.5101501714178652E-4</v>
      </c>
      <c r="H21">
        <v>1.9756600874572053E-3</v>
      </c>
      <c r="I21">
        <v>-5.5401497835906068E-4</v>
      </c>
      <c r="J21">
        <v>4.250106015667829E-3</v>
      </c>
      <c r="K21">
        <v>-1.074703179541382E-5</v>
      </c>
      <c r="L21">
        <v>-8.476732735086714E-5</v>
      </c>
      <c r="M21">
        <v>8.4153004764701497E-5</v>
      </c>
      <c r="N21">
        <v>3.1346957098345091E-2</v>
      </c>
      <c r="O21">
        <v>3.047767911779474E-2</v>
      </c>
      <c r="P21">
        <v>3.0337799796829518E-2</v>
      </c>
      <c r="Q21">
        <v>3.0924906365841675E-2</v>
      </c>
      <c r="R21">
        <v>3.0286905526271148E-2</v>
      </c>
      <c r="S21">
        <v>3.0447893161121661E-2</v>
      </c>
      <c r="T21">
        <v>3.1005338411664491E-2</v>
      </c>
      <c r="U21">
        <v>3.0972509559998605E-2</v>
      </c>
      <c r="V21">
        <v>4.9821769827168377E-2</v>
      </c>
      <c r="W21">
        <v>3.0845593375651591E-2</v>
      </c>
      <c r="X21">
        <v>3.1132747364414813E-2</v>
      </c>
      <c r="Y21">
        <v>-2.9370950791327921E-4</v>
      </c>
      <c r="Z21">
        <v>3.5438833284800126E-3</v>
      </c>
      <c r="AA21">
        <v>2.3097313956616811E-3</v>
      </c>
      <c r="AB21">
        <v>1.4055627943147707E-2</v>
      </c>
      <c r="AC21">
        <v>1.6043447060661201E-2</v>
      </c>
      <c r="AD21">
        <v>8.7346409512658856E-3</v>
      </c>
      <c r="AE21">
        <v>-2.2622310031765576E-2</v>
      </c>
    </row>
    <row r="22" spans="1:31" x14ac:dyDescent="0.2">
      <c r="A22" t="s">
        <v>94</v>
      </c>
      <c r="B22">
        <v>-0.13877756285876486</v>
      </c>
      <c r="C22">
        <v>-1.4659934106740608E-3</v>
      </c>
      <c r="D22">
        <v>1.5612546172892681E-3</v>
      </c>
      <c r="E22">
        <v>-1.2595874730771221E-3</v>
      </c>
      <c r="F22">
        <v>-5.2004210309831078E-4</v>
      </c>
      <c r="G22">
        <v>-1.0136201022766869E-3</v>
      </c>
      <c r="H22">
        <v>2.3337128736394069E-3</v>
      </c>
      <c r="I22">
        <v>1.5800580818586688E-4</v>
      </c>
      <c r="J22">
        <v>3.3560422630877929E-3</v>
      </c>
      <c r="K22">
        <v>-5.776217987955558E-5</v>
      </c>
      <c r="L22">
        <v>-1.1200440324342657E-4</v>
      </c>
      <c r="M22">
        <v>5.2372088991127448E-5</v>
      </c>
      <c r="N22">
        <v>3.1198324984202604E-2</v>
      </c>
      <c r="O22">
        <v>3.0502016653641151E-2</v>
      </c>
      <c r="P22">
        <v>3.0511818272036681E-2</v>
      </c>
      <c r="Q22">
        <v>3.1003278843662548E-2</v>
      </c>
      <c r="R22">
        <v>3.046315688254856E-2</v>
      </c>
      <c r="S22">
        <v>3.0641678316739772E-2</v>
      </c>
      <c r="T22">
        <v>3.1125334564856187E-2</v>
      </c>
      <c r="U22">
        <v>3.114244120043641E-2</v>
      </c>
      <c r="V22">
        <v>3.0845593375651591E-2</v>
      </c>
      <c r="W22">
        <v>4.6516670325089118E-2</v>
      </c>
      <c r="X22">
        <v>3.1100362853644752E-2</v>
      </c>
      <c r="Y22">
        <v>-1.4930327017159467E-4</v>
      </c>
      <c r="Z22">
        <v>1.9320941722382355E-3</v>
      </c>
      <c r="AA22">
        <v>1.2938626358252625E-3</v>
      </c>
      <c r="AB22">
        <v>1.4349550343402805E-2</v>
      </c>
      <c r="AC22">
        <v>1.7946985345018634E-2</v>
      </c>
      <c r="AD22">
        <v>6.7700794898122463E-3</v>
      </c>
      <c r="AE22">
        <v>-2.0345821457909016E-2</v>
      </c>
    </row>
    <row r="23" spans="1:31" x14ac:dyDescent="0.2">
      <c r="A23" t="s">
        <v>95</v>
      </c>
      <c r="B23">
        <v>-0.4406824641071726</v>
      </c>
      <c r="C23">
        <v>-1.2112653202902709E-3</v>
      </c>
      <c r="D23">
        <v>1.7701464441010851E-3</v>
      </c>
      <c r="E23">
        <v>-3.8488614739277905E-4</v>
      </c>
      <c r="F23">
        <v>2.98523589709534E-4</v>
      </c>
      <c r="G23">
        <v>-6.7081184716885622E-4</v>
      </c>
      <c r="H23">
        <v>2.284499326915762E-3</v>
      </c>
      <c r="I23">
        <v>-6.2502832009021098E-4</v>
      </c>
      <c r="J23">
        <v>2.3067351475891092E-3</v>
      </c>
      <c r="K23">
        <v>-2.8959781790665359E-5</v>
      </c>
      <c r="L23">
        <v>-1.1535533501410384E-4</v>
      </c>
      <c r="M23">
        <v>7.0874544250281533E-5</v>
      </c>
      <c r="N23">
        <v>3.1464846280012171E-2</v>
      </c>
      <c r="O23">
        <v>3.0722186604069147E-2</v>
      </c>
      <c r="P23">
        <v>3.0729111079747139E-2</v>
      </c>
      <c r="Q23">
        <v>3.1160502588325707E-2</v>
      </c>
      <c r="R23">
        <v>3.0571569338660301E-2</v>
      </c>
      <c r="S23">
        <v>3.0711977247319094E-2</v>
      </c>
      <c r="T23">
        <v>3.1168587148781762E-2</v>
      </c>
      <c r="U23">
        <v>3.1188313486237688E-2</v>
      </c>
      <c r="V23">
        <v>3.1132747364414813E-2</v>
      </c>
      <c r="W23">
        <v>3.1100362853644752E-2</v>
      </c>
      <c r="X23">
        <v>5.0164029561423046E-2</v>
      </c>
      <c r="Y23">
        <v>-2.8935542684946055E-4</v>
      </c>
      <c r="Z23">
        <v>2.3450036522917198E-3</v>
      </c>
      <c r="AA23">
        <v>1.1044656077954179E-3</v>
      </c>
      <c r="AB23">
        <v>1.464052758358567E-2</v>
      </c>
      <c r="AC23">
        <v>1.9025321775348554E-2</v>
      </c>
      <c r="AD23">
        <v>7.5851194419816192E-3</v>
      </c>
      <c r="AE23">
        <v>-2.0204246053593541E-2</v>
      </c>
    </row>
    <row r="24" spans="1:31" x14ac:dyDescent="0.2">
      <c r="A24" t="s">
        <v>110</v>
      </c>
      <c r="B24">
        <v>-1.7460122726642144E-2</v>
      </c>
      <c r="C24">
        <v>1.1090626607253193E-4</v>
      </c>
      <c r="D24">
        <v>1.0366462666701033E-4</v>
      </c>
      <c r="E24">
        <v>-8.032709653509027E-5</v>
      </c>
      <c r="F24">
        <v>-5.1865907981974498E-5</v>
      </c>
      <c r="G24">
        <v>-1.9569499723100237E-6</v>
      </c>
      <c r="H24">
        <v>5.2164999695738785E-6</v>
      </c>
      <c r="I24">
        <v>1.2189515250520899E-4</v>
      </c>
      <c r="J24">
        <v>-7.8163839840068926E-5</v>
      </c>
      <c r="K24">
        <v>-2.0434940174858215E-7</v>
      </c>
      <c r="L24">
        <v>5.042304408543535E-6</v>
      </c>
      <c r="M24">
        <v>-2.8693980256446521E-7</v>
      </c>
      <c r="N24">
        <v>-2.1554517492284415E-4</v>
      </c>
      <c r="O24">
        <v>-2.7708304259417733E-4</v>
      </c>
      <c r="P24">
        <v>-1.2383908170350132E-4</v>
      </c>
      <c r="Q24">
        <v>-2.7159287140668289E-4</v>
      </c>
      <c r="R24">
        <v>-1.1982894188734827E-4</v>
      </c>
      <c r="S24">
        <v>-2.7261063349103953E-4</v>
      </c>
      <c r="T24">
        <v>-2.6419002401913334E-4</v>
      </c>
      <c r="U24">
        <v>-2.1888443109164104E-4</v>
      </c>
      <c r="V24">
        <v>-2.9370950791327921E-4</v>
      </c>
      <c r="W24">
        <v>-1.4930327017159467E-4</v>
      </c>
      <c r="X24">
        <v>-2.8935542684946055E-4</v>
      </c>
      <c r="Y24">
        <v>1.5339364843381325E-4</v>
      </c>
      <c r="Z24">
        <v>-6.3308332114365583E-4</v>
      </c>
      <c r="AA24">
        <v>-7.4504661931939836E-4</v>
      </c>
      <c r="AB24">
        <v>2.3971115027921559E-5</v>
      </c>
      <c r="AC24">
        <v>-1.0614601697387552E-4</v>
      </c>
      <c r="AD24">
        <v>-3.1647368564953211E-4</v>
      </c>
      <c r="AE24">
        <v>-2.5544130633262645E-3</v>
      </c>
    </row>
    <row r="25" spans="1:31" x14ac:dyDescent="0.2">
      <c r="A25" t="s">
        <v>96</v>
      </c>
      <c r="B25">
        <v>-0.10757538509916657</v>
      </c>
      <c r="C25">
        <v>-6.4681663828254589E-4</v>
      </c>
      <c r="D25">
        <v>4.0398948472131842E-4</v>
      </c>
      <c r="E25">
        <v>5.1251635515521033E-4</v>
      </c>
      <c r="F25">
        <v>-1.5365798966055703E-4</v>
      </c>
      <c r="G25">
        <v>5.9178246688094179E-4</v>
      </c>
      <c r="H25">
        <v>1.9501763014156048E-4</v>
      </c>
      <c r="I25">
        <v>-8.3827246003348303E-4</v>
      </c>
      <c r="J25">
        <v>1.7157078927361711E-3</v>
      </c>
      <c r="K25">
        <v>8.549076878260894E-6</v>
      </c>
      <c r="L25">
        <v>-1.3175476193669059E-5</v>
      </c>
      <c r="M25">
        <v>-4.3025178640350006E-6</v>
      </c>
      <c r="N25">
        <v>2.8997791954143079E-3</v>
      </c>
      <c r="O25">
        <v>3.142610665788104E-3</v>
      </c>
      <c r="P25">
        <v>1.4230942110800403E-3</v>
      </c>
      <c r="Q25">
        <v>1.8612366277093581E-3</v>
      </c>
      <c r="R25">
        <v>1.7390884190471587E-3</v>
      </c>
      <c r="S25">
        <v>2.1317884602863541E-3</v>
      </c>
      <c r="T25">
        <v>2.3722738082053241E-3</v>
      </c>
      <c r="U25">
        <v>2.7289357655805101E-3</v>
      </c>
      <c r="V25">
        <v>3.5438833284800126E-3</v>
      </c>
      <c r="W25">
        <v>1.9320941722382355E-3</v>
      </c>
      <c r="X25">
        <v>2.3450036522917198E-3</v>
      </c>
      <c r="Y25">
        <v>-6.3308332114365583E-4</v>
      </c>
      <c r="Z25">
        <v>2.4340148026697882E-2</v>
      </c>
      <c r="AA25">
        <v>4.8447282016506766E-3</v>
      </c>
      <c r="AB25">
        <v>2.7217595443749035E-4</v>
      </c>
      <c r="AC25">
        <v>6.1321365724171587E-5</v>
      </c>
      <c r="AD25">
        <v>3.3325292123339671E-3</v>
      </c>
      <c r="AE25">
        <v>6.6973365592236656E-3</v>
      </c>
    </row>
    <row r="26" spans="1:31" x14ac:dyDescent="0.2">
      <c r="A26" t="s">
        <v>97</v>
      </c>
      <c r="B26">
        <v>0.12252227737286392</v>
      </c>
      <c r="C26">
        <v>2.0169603174773445E-4</v>
      </c>
      <c r="D26">
        <v>1.0420391998900646E-3</v>
      </c>
      <c r="E26">
        <v>-2.463603701976741E-4</v>
      </c>
      <c r="F26">
        <v>-1.8351524443150312E-5</v>
      </c>
      <c r="G26">
        <v>3.2814852203344864E-4</v>
      </c>
      <c r="H26">
        <v>-6.4688032176740901E-4</v>
      </c>
      <c r="I26">
        <v>-7.1277165656066311E-4</v>
      </c>
      <c r="J26">
        <v>1.1983671604213347E-3</v>
      </c>
      <c r="K26">
        <v>1.2373660391154618E-5</v>
      </c>
      <c r="L26">
        <v>-1.6221571520535005E-5</v>
      </c>
      <c r="M26">
        <v>2.6082449105198592E-5</v>
      </c>
      <c r="N26">
        <v>5.0295738353076788E-3</v>
      </c>
      <c r="O26">
        <v>2.0885617383254252E-3</v>
      </c>
      <c r="P26">
        <v>9.4413839352060485E-4</v>
      </c>
      <c r="Q26">
        <v>1.9330359484744197E-3</v>
      </c>
      <c r="R26">
        <v>-4.747308830422767E-5</v>
      </c>
      <c r="S26">
        <v>1.8197530967749812E-3</v>
      </c>
      <c r="T26">
        <v>1.7833684758711197E-3</v>
      </c>
      <c r="U26">
        <v>1.9067060857950744E-3</v>
      </c>
      <c r="V26">
        <v>2.3097313956616811E-3</v>
      </c>
      <c r="W26">
        <v>1.2938626358252625E-3</v>
      </c>
      <c r="X26">
        <v>1.1044656077954179E-3</v>
      </c>
      <c r="Y26">
        <v>-7.4504661931939836E-4</v>
      </c>
      <c r="Z26">
        <v>4.8447282016506766E-3</v>
      </c>
      <c r="AA26">
        <v>2.9087029431777885E-2</v>
      </c>
      <c r="AB26">
        <v>7.2728697970133758E-4</v>
      </c>
      <c r="AC26">
        <v>-4.8539082318283021E-4</v>
      </c>
      <c r="AD26">
        <v>1.767836491932441E-4</v>
      </c>
      <c r="AE26">
        <v>8.1334710894644963E-3</v>
      </c>
    </row>
    <row r="27" spans="1:31" x14ac:dyDescent="0.2">
      <c r="A27" t="s">
        <v>98</v>
      </c>
      <c r="B27">
        <v>-0.79457116743206224</v>
      </c>
      <c r="C27">
        <v>3.7231177407090748E-4</v>
      </c>
      <c r="D27">
        <v>2.5217783552915381E-5</v>
      </c>
      <c r="E27">
        <v>-1.6321297019726614E-3</v>
      </c>
      <c r="F27">
        <v>-1.2114965120786875E-4</v>
      </c>
      <c r="G27">
        <v>-1.7669226632701499E-3</v>
      </c>
      <c r="H27">
        <v>-5.0619835415700492E-3</v>
      </c>
      <c r="I27">
        <v>1.0367049840395333E-3</v>
      </c>
      <c r="J27">
        <v>-1.3172228120890399E-3</v>
      </c>
      <c r="K27">
        <v>4.0988381118781765E-5</v>
      </c>
      <c r="L27">
        <v>2.8747867586285556E-6</v>
      </c>
      <c r="M27">
        <v>4.226200103604964E-5</v>
      </c>
      <c r="N27">
        <v>1.3859092419142518E-2</v>
      </c>
      <c r="O27">
        <v>1.2848507885054979E-2</v>
      </c>
      <c r="P27">
        <v>1.1688674775534898E-2</v>
      </c>
      <c r="Q27">
        <v>1.6990802242780604E-2</v>
      </c>
      <c r="R27">
        <v>1.1358425182250432E-2</v>
      </c>
      <c r="S27">
        <v>1.3140777825899484E-2</v>
      </c>
      <c r="T27">
        <v>1.3121019827300854E-2</v>
      </c>
      <c r="U27">
        <v>1.4397549751910254E-2</v>
      </c>
      <c r="V27">
        <v>1.4055627943147707E-2</v>
      </c>
      <c r="W27">
        <v>1.4349550343402805E-2</v>
      </c>
      <c r="X27">
        <v>1.464052758358567E-2</v>
      </c>
      <c r="Y27">
        <v>2.3971115027921559E-5</v>
      </c>
      <c r="Z27">
        <v>2.7217595443749035E-4</v>
      </c>
      <c r="AA27">
        <v>7.2728697970133758E-4</v>
      </c>
      <c r="AB27">
        <v>8.1405976070300076E-2</v>
      </c>
      <c r="AC27">
        <v>8.8909548763209754E-3</v>
      </c>
      <c r="AD27">
        <v>4.7282620346969298E-3</v>
      </c>
      <c r="AE27">
        <v>-1.6973286138905353E-2</v>
      </c>
    </row>
    <row r="28" spans="1:31" x14ac:dyDescent="0.2">
      <c r="A28" t="s">
        <v>99</v>
      </c>
      <c r="B28">
        <v>0.52650420936035291</v>
      </c>
      <c r="C28">
        <v>4.8357832236666561E-4</v>
      </c>
      <c r="D28">
        <v>2.4760832969318476E-3</v>
      </c>
      <c r="E28">
        <v>8.6532557701103142E-4</v>
      </c>
      <c r="F28">
        <v>1.2210820356457433E-4</v>
      </c>
      <c r="G28">
        <v>-2.7929567295290357E-4</v>
      </c>
      <c r="H28">
        <v>1.8197575996036924E-3</v>
      </c>
      <c r="I28">
        <v>-2.5418085978305932E-3</v>
      </c>
      <c r="J28">
        <v>-1.2552229432886688E-2</v>
      </c>
      <c r="K28">
        <v>-3.9037846252163491E-5</v>
      </c>
      <c r="L28">
        <v>-8.7978968395944113E-5</v>
      </c>
      <c r="M28">
        <v>4.834978493185513E-5</v>
      </c>
      <c r="N28">
        <v>1.9323433472349414E-2</v>
      </c>
      <c r="O28">
        <v>1.8668400827405441E-2</v>
      </c>
      <c r="P28">
        <v>1.7638981602167009E-2</v>
      </c>
      <c r="Q28">
        <v>1.8566534721804508E-2</v>
      </c>
      <c r="R28">
        <v>1.641541106397662E-2</v>
      </c>
      <c r="S28">
        <v>1.680634748342788E-2</v>
      </c>
      <c r="T28">
        <v>1.7703985798227847E-2</v>
      </c>
      <c r="U28">
        <v>1.8229062902306307E-2</v>
      </c>
      <c r="V28">
        <v>1.6043447060661201E-2</v>
      </c>
      <c r="W28">
        <v>1.7946985345018634E-2</v>
      </c>
      <c r="X28">
        <v>1.9025321775348554E-2</v>
      </c>
      <c r="Y28">
        <v>-1.0614601697387552E-4</v>
      </c>
      <c r="Z28">
        <v>6.1321365724171587E-5</v>
      </c>
      <c r="AA28">
        <v>-4.8539082318283021E-4</v>
      </c>
      <c r="AB28">
        <v>8.8909548763209754E-3</v>
      </c>
      <c r="AC28">
        <v>0.30525361947678237</v>
      </c>
      <c r="AD28">
        <v>7.6895492632505554E-3</v>
      </c>
      <c r="AE28">
        <v>-1.2384681843300126E-2</v>
      </c>
    </row>
    <row r="29" spans="1:31" x14ac:dyDescent="0.2">
      <c r="A29" t="s">
        <v>100</v>
      </c>
      <c r="B29">
        <v>-0.23410121988567761</v>
      </c>
      <c r="C29">
        <v>-2.018643409382132E-3</v>
      </c>
      <c r="D29">
        <v>-5.6445788060733616E-4</v>
      </c>
      <c r="E29">
        <v>-1.45801438580355E-3</v>
      </c>
      <c r="F29">
        <v>-1.6731959814988929E-3</v>
      </c>
      <c r="G29">
        <v>-1.253387564039862E-3</v>
      </c>
      <c r="H29">
        <v>1.3009075990543556E-3</v>
      </c>
      <c r="I29">
        <v>-3.3907291678793999E-3</v>
      </c>
      <c r="J29">
        <v>-7.9892611761089426E-3</v>
      </c>
      <c r="K29">
        <v>6.8025199649851922E-6</v>
      </c>
      <c r="L29">
        <v>-3.2966206981422774E-5</v>
      </c>
      <c r="M29">
        <v>1.0374702983670421E-4</v>
      </c>
      <c r="N29">
        <v>8.3651651182033888E-3</v>
      </c>
      <c r="O29">
        <v>7.6203028992377214E-3</v>
      </c>
      <c r="P29">
        <v>5.1576277098041405E-3</v>
      </c>
      <c r="Q29">
        <v>7.3558285480327789E-3</v>
      </c>
      <c r="R29">
        <v>6.3602494164934804E-3</v>
      </c>
      <c r="S29">
        <v>7.7593112049649943E-3</v>
      </c>
      <c r="T29">
        <v>6.7207432951217928E-3</v>
      </c>
      <c r="U29">
        <v>5.5327598782864435E-3</v>
      </c>
      <c r="V29">
        <v>8.7346409512658856E-3</v>
      </c>
      <c r="W29">
        <v>6.7700794898122463E-3</v>
      </c>
      <c r="X29">
        <v>7.5851194419816192E-3</v>
      </c>
      <c r="Y29">
        <v>-3.1647368564953211E-4</v>
      </c>
      <c r="Z29">
        <v>3.3325292123339671E-3</v>
      </c>
      <c r="AA29">
        <v>1.767836491932441E-4</v>
      </c>
      <c r="AB29">
        <v>4.7282620346969298E-3</v>
      </c>
      <c r="AC29">
        <v>7.6895492632505554E-3</v>
      </c>
      <c r="AD29">
        <v>0.13706343881748922</v>
      </c>
      <c r="AE29">
        <v>1.466974529048975E-4</v>
      </c>
    </row>
    <row r="30" spans="1:31" x14ac:dyDescent="0.2">
      <c r="A30" t="s">
        <v>47</v>
      </c>
      <c r="B30">
        <v>-5.6274553067065733E-2</v>
      </c>
      <c r="C30">
        <v>-5.3601843944844404E-3</v>
      </c>
      <c r="D30">
        <v>-6.1648113873945427E-3</v>
      </c>
      <c r="E30">
        <v>-2.8090171653944208E-3</v>
      </c>
      <c r="F30">
        <v>-3.1110007212267871E-3</v>
      </c>
      <c r="G30">
        <v>-1.3622328552918134E-2</v>
      </c>
      <c r="H30">
        <v>-4.4001471374492561E-3</v>
      </c>
      <c r="I30">
        <v>-6.7741559097202727E-3</v>
      </c>
      <c r="J30">
        <v>-1.1163621844101615E-2</v>
      </c>
      <c r="K30">
        <v>-6.9695971591720023E-4</v>
      </c>
      <c r="L30">
        <v>-9.4813997241722657E-4</v>
      </c>
      <c r="M30">
        <v>-1.0214480186188386E-4</v>
      </c>
      <c r="N30">
        <v>-2.3253570119061012E-2</v>
      </c>
      <c r="O30">
        <v>-2.0344571869119612E-2</v>
      </c>
      <c r="P30">
        <v>-1.9104687002496568E-2</v>
      </c>
      <c r="Q30">
        <v>-2.1440599440716187E-2</v>
      </c>
      <c r="R30">
        <v>-2.0433566082218795E-2</v>
      </c>
      <c r="S30">
        <v>-1.9456015982597823E-2</v>
      </c>
      <c r="T30">
        <v>-1.9423829304471028E-2</v>
      </c>
      <c r="U30">
        <v>-2.0421153399174868E-2</v>
      </c>
      <c r="V30">
        <v>-2.2622310031765576E-2</v>
      </c>
      <c r="W30">
        <v>-2.0345821457909016E-2</v>
      </c>
      <c r="X30">
        <v>-2.0204246053593541E-2</v>
      </c>
      <c r="Y30">
        <v>-2.5544130633262645E-3</v>
      </c>
      <c r="Z30">
        <v>6.6973365592236656E-3</v>
      </c>
      <c r="AA30">
        <v>8.1334710894644963E-3</v>
      </c>
      <c r="AB30">
        <v>-1.6973286138905353E-2</v>
      </c>
      <c r="AC30">
        <v>-1.2384681843300126E-2</v>
      </c>
      <c r="AD30">
        <v>1.466974529048975E-4</v>
      </c>
      <c r="AE30">
        <v>0.15701977082495139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E30"/>
  <sheetViews>
    <sheetView workbookViewId="0">
      <selection activeCell="A26" sqref="A26"/>
    </sheetView>
  </sheetViews>
  <sheetFormatPr baseColWidth="10" defaultColWidth="8.83203125" defaultRowHeight="15" x14ac:dyDescent="0.2"/>
  <sheetData>
    <row r="1" spans="1:31" x14ac:dyDescent="0.2">
      <c r="A1" t="s">
        <v>19</v>
      </c>
      <c r="B1" t="s">
        <v>20</v>
      </c>
      <c r="C1" t="s">
        <v>66</v>
      </c>
      <c r="D1" t="s">
        <v>67</v>
      </c>
      <c r="E1" t="s">
        <v>101</v>
      </c>
      <c r="F1" t="s">
        <v>102</v>
      </c>
      <c r="G1" t="s">
        <v>81</v>
      </c>
      <c r="H1" t="s">
        <v>83</v>
      </c>
      <c r="I1" t="s">
        <v>84</v>
      </c>
      <c r="J1" t="s">
        <v>107</v>
      </c>
      <c r="K1" t="s">
        <v>69</v>
      </c>
      <c r="L1" t="s">
        <v>70</v>
      </c>
      <c r="M1" t="s">
        <v>109</v>
      </c>
      <c r="N1" t="s">
        <v>85</v>
      </c>
      <c r="O1" t="s">
        <v>86</v>
      </c>
      <c r="P1" t="s">
        <v>87</v>
      </c>
      <c r="Q1" t="s">
        <v>88</v>
      </c>
      <c r="R1" t="s">
        <v>89</v>
      </c>
      <c r="S1" t="s">
        <v>90</v>
      </c>
      <c r="T1" t="s">
        <v>91</v>
      </c>
      <c r="U1" t="s">
        <v>92</v>
      </c>
      <c r="V1" t="s">
        <v>93</v>
      </c>
      <c r="W1" t="s">
        <v>94</v>
      </c>
      <c r="X1" t="s">
        <v>95</v>
      </c>
      <c r="Y1" t="s">
        <v>110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47</v>
      </c>
    </row>
    <row r="2" spans="1:31" x14ac:dyDescent="0.2">
      <c r="A2" t="s">
        <v>66</v>
      </c>
      <c r="B2">
        <v>0.44711177127315149</v>
      </c>
      <c r="C2">
        <v>1.9956265787809506E-3</v>
      </c>
      <c r="D2">
        <v>-2.4038376233554134E-5</v>
      </c>
      <c r="E2">
        <v>4.4517557872922092E-4</v>
      </c>
      <c r="F2">
        <v>4.5608708019043696E-4</v>
      </c>
      <c r="G2">
        <v>4.3841686883688125E-4</v>
      </c>
      <c r="H2">
        <v>-3.4394119926837199E-4</v>
      </c>
      <c r="I2">
        <v>-1.9133725020136444E-5</v>
      </c>
      <c r="J2">
        <v>-7.2020319255344844E-4</v>
      </c>
      <c r="K2">
        <v>7.003146351555087E-6</v>
      </c>
      <c r="L2">
        <v>-5.8000185690421537E-6</v>
      </c>
      <c r="M2">
        <v>-1.2135765754184422E-5</v>
      </c>
      <c r="N2">
        <v>-3.9290187020642723E-4</v>
      </c>
      <c r="O2">
        <v>-6.3920639172059934E-4</v>
      </c>
      <c r="P2">
        <v>-4.0329984539407362E-4</v>
      </c>
      <c r="Q2">
        <v>-5.1584747869540053E-4</v>
      </c>
      <c r="R2">
        <v>-7.1157721182263747E-4</v>
      </c>
      <c r="S2">
        <v>-6.5122468515043611E-4</v>
      </c>
      <c r="T2">
        <v>-3.9774486378353591E-4</v>
      </c>
      <c r="U2">
        <v>-3.8345291311568886E-4</v>
      </c>
      <c r="V2">
        <v>-5.4459410239249728E-4</v>
      </c>
      <c r="W2">
        <v>-5.5461483147129821E-4</v>
      </c>
      <c r="X2">
        <v>-5.6703134622477678E-4</v>
      </c>
      <c r="Y2">
        <v>1.7816335366108982E-5</v>
      </c>
      <c r="Z2">
        <v>-1.0445153185739784E-4</v>
      </c>
      <c r="AA2">
        <v>5.0287386656211607E-5</v>
      </c>
      <c r="AB2">
        <v>-4.1801436378177789E-4</v>
      </c>
      <c r="AC2">
        <v>8.1763118613672157E-5</v>
      </c>
      <c r="AD2">
        <v>4.8143218447135861E-4</v>
      </c>
      <c r="AE2">
        <v>3.8211064121187197E-4</v>
      </c>
    </row>
    <row r="3" spans="1:31" x14ac:dyDescent="0.2">
      <c r="A3" t="s">
        <v>67</v>
      </c>
      <c r="B3">
        <v>-5.9093502861091302E-2</v>
      </c>
      <c r="C3">
        <v>-2.4038376233554134E-5</v>
      </c>
      <c r="D3">
        <v>2.3677734017137636E-5</v>
      </c>
      <c r="E3">
        <v>5.6793417645783757E-5</v>
      </c>
      <c r="F3">
        <v>4.4458285967337253E-5</v>
      </c>
      <c r="G3">
        <v>5.7180497449744311E-5</v>
      </c>
      <c r="H3">
        <v>1.2692153930585925E-4</v>
      </c>
      <c r="I3">
        <v>-4.60742051035705E-6</v>
      </c>
      <c r="J3">
        <v>8.7351861963466313E-5</v>
      </c>
      <c r="K3">
        <v>2.5166142758513164E-7</v>
      </c>
      <c r="L3">
        <v>-1.2153762234679316E-6</v>
      </c>
      <c r="M3">
        <v>1.8892725718455671E-6</v>
      </c>
      <c r="N3">
        <v>4.6506838305732047E-5</v>
      </c>
      <c r="O3">
        <v>2.7677270965431312E-5</v>
      </c>
      <c r="P3">
        <v>5.2835945416071593E-6</v>
      </c>
      <c r="Q3">
        <v>7.8008748714572616E-6</v>
      </c>
      <c r="R3">
        <v>1.0709453687091932E-5</v>
      </c>
      <c r="S3">
        <v>1.8968581477123788E-5</v>
      </c>
      <c r="T3">
        <v>-2.3899854286711761E-5</v>
      </c>
      <c r="U3">
        <v>9.6326772612006042E-6</v>
      </c>
      <c r="V3">
        <v>9.4845630937102562E-6</v>
      </c>
      <c r="W3">
        <v>3.2453993185334264E-5</v>
      </c>
      <c r="X3">
        <v>1.6974801391180091E-5</v>
      </c>
      <c r="Y3">
        <v>1.7193539863246971E-6</v>
      </c>
      <c r="Z3">
        <v>1.92921541115193E-5</v>
      </c>
      <c r="AA3">
        <v>3.6561097127225971E-5</v>
      </c>
      <c r="AB3">
        <v>4.9589689822686226E-5</v>
      </c>
      <c r="AC3">
        <v>8.5234331227816446E-6</v>
      </c>
      <c r="AD3">
        <v>-6.9474779583894705E-5</v>
      </c>
      <c r="AE3">
        <v>-1.5378982261412249E-3</v>
      </c>
    </row>
    <row r="4" spans="1:31" x14ac:dyDescent="0.2">
      <c r="A4" t="s">
        <v>101</v>
      </c>
      <c r="B4">
        <v>0.86976753881183921</v>
      </c>
      <c r="C4">
        <v>4.4517557872922092E-4</v>
      </c>
      <c r="D4">
        <v>5.6793417645783757E-5</v>
      </c>
      <c r="E4">
        <v>5.7187210291845337E-3</v>
      </c>
      <c r="F4">
        <v>3.9095418084526632E-3</v>
      </c>
      <c r="G4">
        <v>7.7188116301319873E-4</v>
      </c>
      <c r="H4">
        <v>2.4843140817794795E-4</v>
      </c>
      <c r="I4">
        <v>9.2924866132944236E-5</v>
      </c>
      <c r="J4">
        <v>-8.3517809627223953E-5</v>
      </c>
      <c r="K4">
        <v>-2.0373219204185222E-5</v>
      </c>
      <c r="L4">
        <v>-1.4455683094306159E-5</v>
      </c>
      <c r="M4">
        <v>-4.1364614537193281E-5</v>
      </c>
      <c r="N4">
        <v>-4.7763362830304066E-4</v>
      </c>
      <c r="O4">
        <v>-6.2323979539606448E-4</v>
      </c>
      <c r="P4">
        <v>1.9135358824438637E-4</v>
      </c>
      <c r="Q4">
        <v>-5.6577086864297802E-4</v>
      </c>
      <c r="R4">
        <v>-1.9326735377077375E-4</v>
      </c>
      <c r="S4">
        <v>-2.9172747700135344E-4</v>
      </c>
      <c r="T4">
        <v>-2.836778500153788E-4</v>
      </c>
      <c r="U4">
        <v>-7.8596895404907667E-4</v>
      </c>
      <c r="V4">
        <v>-3.4602390719132596E-4</v>
      </c>
      <c r="W4">
        <v>-2.6222408049252815E-5</v>
      </c>
      <c r="X4">
        <v>-9.8042443667949175E-5</v>
      </c>
      <c r="Y4">
        <v>-4.1754003198693609E-5</v>
      </c>
      <c r="Z4">
        <v>3.0268431933717053E-5</v>
      </c>
      <c r="AA4">
        <v>-2.9338966742775815E-4</v>
      </c>
      <c r="AB4">
        <v>2.0258297308884407E-4</v>
      </c>
      <c r="AC4">
        <v>-2.8901265125892478E-4</v>
      </c>
      <c r="AD4">
        <v>-7.4610736029813419E-4</v>
      </c>
      <c r="AE4">
        <v>-4.5173405338954781E-3</v>
      </c>
    </row>
    <row r="5" spans="1:31" x14ac:dyDescent="0.2">
      <c r="A5" t="s">
        <v>102</v>
      </c>
      <c r="B5">
        <v>0.45277276905338504</v>
      </c>
      <c r="C5">
        <v>4.5608708019043696E-4</v>
      </c>
      <c r="D5">
        <v>4.4458285967337253E-5</v>
      </c>
      <c r="E5">
        <v>3.9095418084526632E-3</v>
      </c>
      <c r="F5">
        <v>4.5912896050778968E-3</v>
      </c>
      <c r="G5">
        <v>8.0835614164099351E-4</v>
      </c>
      <c r="H5">
        <v>3.6671039369818789E-4</v>
      </c>
      <c r="I5">
        <v>1.9289668525207835E-4</v>
      </c>
      <c r="J5">
        <v>-2.4397089260291978E-4</v>
      </c>
      <c r="K5">
        <v>-5.0794272676471492E-6</v>
      </c>
      <c r="L5">
        <v>-5.3327312522321972E-6</v>
      </c>
      <c r="M5">
        <v>-1.8011346586563432E-5</v>
      </c>
      <c r="N5">
        <v>-6.6099853144790423E-4</v>
      </c>
      <c r="O5">
        <v>-8.2224753599390336E-4</v>
      </c>
      <c r="P5">
        <v>-2.7765188894149188E-4</v>
      </c>
      <c r="Q5">
        <v>-8.7812565234781205E-4</v>
      </c>
      <c r="R5">
        <v>-8.5946399319632811E-4</v>
      </c>
      <c r="S5">
        <v>-7.6089996716541199E-4</v>
      </c>
      <c r="T5">
        <v>-7.1854780314317885E-4</v>
      </c>
      <c r="U5">
        <v>-1.7033770100073069E-3</v>
      </c>
      <c r="V5">
        <v>-9.9508972490861035E-4</v>
      </c>
      <c r="W5">
        <v>-8.773544678941749E-4</v>
      </c>
      <c r="X5">
        <v>-4.5647183533589764E-4</v>
      </c>
      <c r="Y5">
        <v>-2.3920127318870265E-5</v>
      </c>
      <c r="Z5">
        <v>1.90998104714918E-4</v>
      </c>
      <c r="AA5">
        <v>-2.26127020602922E-4</v>
      </c>
      <c r="AB5">
        <v>-1.343061429796657E-4</v>
      </c>
      <c r="AC5">
        <v>-2.7021739027461005E-4</v>
      </c>
      <c r="AD5">
        <v>-6.2941810873907316E-4</v>
      </c>
      <c r="AE5">
        <v>-4.9089278288959245E-3</v>
      </c>
    </row>
    <row r="6" spans="1:31" x14ac:dyDescent="0.2">
      <c r="A6" t="s">
        <v>81</v>
      </c>
      <c r="B6">
        <v>-0.45637809062650714</v>
      </c>
      <c r="C6">
        <v>4.3841686883688125E-4</v>
      </c>
      <c r="D6">
        <v>5.7180497449744311E-5</v>
      </c>
      <c r="E6">
        <v>7.7188116301319873E-4</v>
      </c>
      <c r="F6">
        <v>8.0835614164099351E-4</v>
      </c>
      <c r="G6">
        <v>5.6261966125083079E-3</v>
      </c>
      <c r="H6">
        <v>7.3638140882441761E-4</v>
      </c>
      <c r="I6">
        <v>6.9088058188563261E-5</v>
      </c>
      <c r="J6">
        <v>-1.2358859950913374E-3</v>
      </c>
      <c r="K6">
        <v>3.5946168217345067E-5</v>
      </c>
      <c r="L6">
        <v>6.3552627008206779E-5</v>
      </c>
      <c r="M6">
        <v>9.3264492361117351E-6</v>
      </c>
      <c r="N6">
        <v>-5.5091780507733634E-4</v>
      </c>
      <c r="O6">
        <v>-9.5140725892810512E-4</v>
      </c>
      <c r="P6">
        <v>-3.2062293493092392E-4</v>
      </c>
      <c r="Q6">
        <v>-8.302472953532038E-4</v>
      </c>
      <c r="R6">
        <v>-4.2660121755681325E-4</v>
      </c>
      <c r="S6">
        <v>-6.242706829037558E-4</v>
      </c>
      <c r="T6">
        <v>-5.3456693740556397E-4</v>
      </c>
      <c r="U6">
        <v>-5.5035474213840495E-4</v>
      </c>
      <c r="V6">
        <v>-9.5393182720703365E-4</v>
      </c>
      <c r="W6">
        <v>-7.5045191069285561E-4</v>
      </c>
      <c r="X6">
        <v>-6.2417677772108951E-4</v>
      </c>
      <c r="Y6">
        <v>6.2510485163264485E-5</v>
      </c>
      <c r="Z6">
        <v>-2.2431930711887997E-4</v>
      </c>
      <c r="AA6">
        <v>-3.9015499068313707E-4</v>
      </c>
      <c r="AB6">
        <v>-2.9847336911765403E-4</v>
      </c>
      <c r="AC6">
        <v>-2.6500858079666224E-4</v>
      </c>
      <c r="AD6">
        <v>-1.0387211319740901E-3</v>
      </c>
      <c r="AE6">
        <v>-1.0767648376707111E-2</v>
      </c>
    </row>
    <row r="7" spans="1:31" x14ac:dyDescent="0.2">
      <c r="A7" t="s">
        <v>83</v>
      </c>
      <c r="B7">
        <v>-0.14248881487916482</v>
      </c>
      <c r="C7">
        <v>-3.4394119926837199E-4</v>
      </c>
      <c r="D7">
        <v>1.2692153930585925E-4</v>
      </c>
      <c r="E7">
        <v>2.4843140817794795E-4</v>
      </c>
      <c r="F7">
        <v>3.6671039369818789E-4</v>
      </c>
      <c r="G7">
        <v>7.3638140882441761E-4</v>
      </c>
      <c r="H7">
        <v>2.1978579517601026E-2</v>
      </c>
      <c r="I7">
        <v>4.7439390695420893E-4</v>
      </c>
      <c r="J7">
        <v>9.6097948886003746E-4</v>
      </c>
      <c r="K7">
        <v>-7.3896795111004704E-6</v>
      </c>
      <c r="L7">
        <v>1.6500764478058963E-5</v>
      </c>
      <c r="M7">
        <v>-1.3915760338565957E-5</v>
      </c>
      <c r="N7">
        <v>8.6640695569791069E-4</v>
      </c>
      <c r="O7">
        <v>1.8265680571060516E-3</v>
      </c>
      <c r="P7">
        <v>9.0128487520303854E-4</v>
      </c>
      <c r="Q7">
        <v>1.1543798151999051E-3</v>
      </c>
      <c r="R7">
        <v>1.7477783244127729E-3</v>
      </c>
      <c r="S7">
        <v>1.3752294962770893E-3</v>
      </c>
      <c r="T7">
        <v>4.9919301845966456E-4</v>
      </c>
      <c r="U7">
        <v>8.9578011007944046E-4</v>
      </c>
      <c r="V7">
        <v>7.9999001594319727E-4</v>
      </c>
      <c r="W7">
        <v>-5.3478562822160437E-5</v>
      </c>
      <c r="X7">
        <v>8.7146783320551317E-4</v>
      </c>
      <c r="Y7">
        <v>7.0989933770842367E-6</v>
      </c>
      <c r="Z7">
        <v>2.517083491671132E-4</v>
      </c>
      <c r="AA7">
        <v>-7.3199595178545908E-4</v>
      </c>
      <c r="AB7">
        <v>3.7261808331429634E-4</v>
      </c>
      <c r="AC7">
        <v>5.8979586596386892E-4</v>
      </c>
      <c r="AD7">
        <v>2.6556156047034037E-4</v>
      </c>
      <c r="AE7">
        <v>-1.0077086199780014E-2</v>
      </c>
    </row>
    <row r="8" spans="1:31" x14ac:dyDescent="0.2">
      <c r="A8" t="s">
        <v>84</v>
      </c>
      <c r="B8">
        <v>2.7057424237759302E-2</v>
      </c>
      <c r="C8">
        <v>-1.9133725020136444E-5</v>
      </c>
      <c r="D8">
        <v>-4.60742051035705E-6</v>
      </c>
      <c r="E8">
        <v>9.2924866132944236E-5</v>
      </c>
      <c r="F8">
        <v>1.9289668525207835E-4</v>
      </c>
      <c r="G8">
        <v>6.9088058188563261E-5</v>
      </c>
      <c r="H8">
        <v>4.7439390695420893E-4</v>
      </c>
      <c r="I8">
        <v>2.7931453082685308E-3</v>
      </c>
      <c r="J8">
        <v>7.488153496776138E-4</v>
      </c>
      <c r="K8">
        <v>-3.5642612831835624E-6</v>
      </c>
      <c r="L8">
        <v>1.0456676466893914E-7</v>
      </c>
      <c r="M8">
        <v>1.8125369465357288E-5</v>
      </c>
      <c r="N8">
        <v>2.5941343493354112E-4</v>
      </c>
      <c r="O8">
        <v>7.839251669838858E-4</v>
      </c>
      <c r="P8">
        <v>7.1086980346561472E-4</v>
      </c>
      <c r="Q8">
        <v>7.4500365462919682E-4</v>
      </c>
      <c r="R8">
        <v>8.444609272660194E-4</v>
      </c>
      <c r="S8">
        <v>3.5126984084764615E-4</v>
      </c>
      <c r="T8">
        <v>7.0699857874685352E-4</v>
      </c>
      <c r="U8">
        <v>5.8553743601788099E-4</v>
      </c>
      <c r="V8">
        <v>8.3697463013424555E-4</v>
      </c>
      <c r="W8">
        <v>5.0458507080558578E-4</v>
      </c>
      <c r="X8">
        <v>4.6205862422345212E-4</v>
      </c>
      <c r="Y8">
        <v>3.0530638910390706E-5</v>
      </c>
      <c r="Z8">
        <v>-1.3352130182301867E-4</v>
      </c>
      <c r="AA8">
        <v>-1.1858653800537061E-4</v>
      </c>
      <c r="AB8">
        <v>2.3240792338275533E-4</v>
      </c>
      <c r="AC8">
        <v>1.7727059974080648E-5</v>
      </c>
      <c r="AD8">
        <v>-5.8379105376359051E-5</v>
      </c>
      <c r="AE8">
        <v>-1.6707630611906481E-3</v>
      </c>
    </row>
    <row r="9" spans="1:31" x14ac:dyDescent="0.2">
      <c r="A9" t="s">
        <v>107</v>
      </c>
      <c r="B9">
        <v>-0.23594699405073297</v>
      </c>
      <c r="C9">
        <v>-7.2020319255344844E-4</v>
      </c>
      <c r="D9">
        <v>8.7351861963466313E-5</v>
      </c>
      <c r="E9">
        <v>-8.3517809627223953E-5</v>
      </c>
      <c r="F9">
        <v>-2.4397089260291978E-4</v>
      </c>
      <c r="G9">
        <v>-1.2358859950913374E-3</v>
      </c>
      <c r="H9">
        <v>9.6097948886003746E-4</v>
      </c>
      <c r="I9">
        <v>7.488153496776138E-4</v>
      </c>
      <c r="J9">
        <v>7.1595498913648026E-2</v>
      </c>
      <c r="K9">
        <v>-4.4885666519687303E-6</v>
      </c>
      <c r="L9">
        <v>4.8212814439263106E-6</v>
      </c>
      <c r="M9">
        <v>4.5052999503242556E-5</v>
      </c>
      <c r="N9">
        <v>3.2124922831281147E-3</v>
      </c>
      <c r="O9">
        <v>3.1028930468956504E-3</v>
      </c>
      <c r="P9">
        <v>3.0429628055083733E-3</v>
      </c>
      <c r="Q9">
        <v>3.4584412964149222E-3</v>
      </c>
      <c r="R9">
        <v>3.4686742898830053E-3</v>
      </c>
      <c r="S9">
        <v>2.4981339258222067E-3</v>
      </c>
      <c r="T9">
        <v>2.6154093472634688E-3</v>
      </c>
      <c r="U9">
        <v>3.5874290418149895E-3</v>
      </c>
      <c r="V9">
        <v>2.9578402085868316E-3</v>
      </c>
      <c r="W9">
        <v>3.5233228092846152E-3</v>
      </c>
      <c r="X9">
        <v>3.3013676795191774E-3</v>
      </c>
      <c r="Y9">
        <v>5.0901750936756902E-6</v>
      </c>
      <c r="Z9">
        <v>5.0690549455920803E-5</v>
      </c>
      <c r="AA9">
        <v>8.0883578638609713E-4</v>
      </c>
      <c r="AB9">
        <v>1.0587035757039435E-3</v>
      </c>
      <c r="AC9">
        <v>-1.969840532807088E-3</v>
      </c>
      <c r="AD9">
        <v>-2.2074218812946841E-3</v>
      </c>
      <c r="AE9">
        <v>-9.1069561281174709E-3</v>
      </c>
    </row>
    <row r="10" spans="1:31" x14ac:dyDescent="0.2">
      <c r="A10" t="s">
        <v>69</v>
      </c>
      <c r="B10">
        <v>1.262671174273345E-2</v>
      </c>
      <c r="C10">
        <v>7.003146351555087E-6</v>
      </c>
      <c r="D10">
        <v>2.5166142758513164E-7</v>
      </c>
      <c r="E10">
        <v>-2.0373219204185222E-5</v>
      </c>
      <c r="F10">
        <v>-5.0794272676471492E-6</v>
      </c>
      <c r="G10">
        <v>3.5946168217345067E-5</v>
      </c>
      <c r="H10">
        <v>-7.3896795111004704E-6</v>
      </c>
      <c r="I10">
        <v>-3.5642612831835624E-6</v>
      </c>
      <c r="J10">
        <v>-4.4885666519687303E-6</v>
      </c>
      <c r="K10">
        <v>5.0694491331951068E-6</v>
      </c>
      <c r="L10">
        <v>1.0166604989542324E-6</v>
      </c>
      <c r="M10">
        <v>-4.6209606572598327E-7</v>
      </c>
      <c r="N10">
        <v>-1.6216075254986076E-6</v>
      </c>
      <c r="O10">
        <v>-1.3527762951225405E-5</v>
      </c>
      <c r="P10">
        <v>3.2893968495307374E-7</v>
      </c>
      <c r="Q10">
        <v>-1.5233220022876459E-6</v>
      </c>
      <c r="R10">
        <v>-2.2888094707122368E-6</v>
      </c>
      <c r="S10">
        <v>2.7291633233522997E-6</v>
      </c>
      <c r="T10">
        <v>-4.0156929082882771E-6</v>
      </c>
      <c r="U10">
        <v>-7.1751186694627298E-6</v>
      </c>
      <c r="V10">
        <v>-1.4418489279608104E-5</v>
      </c>
      <c r="W10">
        <v>-1.5774871441245772E-5</v>
      </c>
      <c r="X10">
        <v>6.5221650880006865E-6</v>
      </c>
      <c r="Y10">
        <v>9.6892093278309833E-7</v>
      </c>
      <c r="Z10">
        <v>-6.0269832972097278E-6</v>
      </c>
      <c r="AA10">
        <v>-1.4228327153770488E-5</v>
      </c>
      <c r="AB10">
        <v>-1.6909154424527646E-6</v>
      </c>
      <c r="AC10">
        <v>3.7205927295626414E-6</v>
      </c>
      <c r="AD10">
        <v>5.2278493061046307E-5</v>
      </c>
      <c r="AE10">
        <v>-3.2081013239517017E-4</v>
      </c>
    </row>
    <row r="11" spans="1:31" x14ac:dyDescent="0.2">
      <c r="A11" t="s">
        <v>70</v>
      </c>
      <c r="B11">
        <v>2.6813621692083627E-3</v>
      </c>
      <c r="C11">
        <v>-5.8000185690421537E-6</v>
      </c>
      <c r="D11">
        <v>-1.2153762234679316E-6</v>
      </c>
      <c r="E11">
        <v>-1.4455683094306159E-5</v>
      </c>
      <c r="F11">
        <v>-5.3327312522321972E-6</v>
      </c>
      <c r="G11">
        <v>6.3552627008206779E-5</v>
      </c>
      <c r="H11">
        <v>1.6500764478058963E-5</v>
      </c>
      <c r="I11">
        <v>1.0456676466893914E-7</v>
      </c>
      <c r="J11">
        <v>4.8212814439263106E-6</v>
      </c>
      <c r="K11">
        <v>1.0166604989542324E-6</v>
      </c>
      <c r="L11">
        <v>7.582461162935665E-6</v>
      </c>
      <c r="M11">
        <v>8.7785112244346456E-7</v>
      </c>
      <c r="N11">
        <v>-8.0538113092835885E-6</v>
      </c>
      <c r="O11">
        <v>-7.0639677853203173E-6</v>
      </c>
      <c r="P11">
        <v>5.775840724719312E-6</v>
      </c>
      <c r="Q11">
        <v>5.1044441983534713E-6</v>
      </c>
      <c r="R11">
        <v>-9.1504645102211189E-6</v>
      </c>
      <c r="S11">
        <v>6.2066126711794837E-6</v>
      </c>
      <c r="T11">
        <v>1.3380839034705168E-5</v>
      </c>
      <c r="U11">
        <v>8.3651254309186003E-6</v>
      </c>
      <c r="V11">
        <v>-4.2490788522725096E-6</v>
      </c>
      <c r="W11">
        <v>8.8061343629500908E-6</v>
      </c>
      <c r="X11">
        <v>-3.4578855843296142E-6</v>
      </c>
      <c r="Y11">
        <v>2.0428810874382202E-6</v>
      </c>
      <c r="Z11">
        <v>-1.8656930647625741E-5</v>
      </c>
      <c r="AA11">
        <v>1.6796073552119188E-6</v>
      </c>
      <c r="AB11">
        <v>-1.8450426926339537E-6</v>
      </c>
      <c r="AC11">
        <v>-1.3933772411134311E-5</v>
      </c>
      <c r="AD11">
        <v>-2.7368298128710852E-5</v>
      </c>
      <c r="AE11">
        <v>-4.0925032034185276E-4</v>
      </c>
    </row>
    <row r="12" spans="1:31" x14ac:dyDescent="0.2">
      <c r="A12" t="s">
        <v>109</v>
      </c>
      <c r="B12">
        <v>2.5785150603619663E-3</v>
      </c>
      <c r="C12">
        <v>-1.2135765754184422E-5</v>
      </c>
      <c r="D12">
        <v>1.8892725718455671E-6</v>
      </c>
      <c r="E12">
        <v>-4.1364614537193281E-5</v>
      </c>
      <c r="F12">
        <v>-1.8011346586563432E-5</v>
      </c>
      <c r="G12">
        <v>9.3264492361117351E-6</v>
      </c>
      <c r="H12">
        <v>-1.3915760338565957E-5</v>
      </c>
      <c r="I12">
        <v>1.8125369465357288E-5</v>
      </c>
      <c r="J12">
        <v>4.5052999503242556E-5</v>
      </c>
      <c r="K12">
        <v>-4.6209606572598327E-7</v>
      </c>
      <c r="L12">
        <v>8.7785112244346456E-7</v>
      </c>
      <c r="M12">
        <v>5.5029959071104397E-6</v>
      </c>
      <c r="N12">
        <v>4.0757096884264354E-5</v>
      </c>
      <c r="O12">
        <v>5.0346587974145075E-5</v>
      </c>
      <c r="P12">
        <v>4.9255452863054228E-5</v>
      </c>
      <c r="Q12">
        <v>4.9481618176423187E-5</v>
      </c>
      <c r="R12">
        <v>5.6666737679096657E-5</v>
      </c>
      <c r="S12">
        <v>3.585315541097151E-5</v>
      </c>
      <c r="T12">
        <v>3.802529838402518E-5</v>
      </c>
      <c r="U12">
        <v>3.6315593448796717E-5</v>
      </c>
      <c r="V12">
        <v>4.7322110586384083E-5</v>
      </c>
      <c r="W12">
        <v>5.4179278863718654E-5</v>
      </c>
      <c r="X12">
        <v>4.2515093999430264E-5</v>
      </c>
      <c r="Y12">
        <v>8.8167270655543704E-7</v>
      </c>
      <c r="Z12">
        <v>-1.3640823109104508E-5</v>
      </c>
      <c r="AA12">
        <v>2.161479675732314E-5</v>
      </c>
      <c r="AB12">
        <v>2.3248396064246499E-5</v>
      </c>
      <c r="AC12">
        <v>2.4274144608201585E-5</v>
      </c>
      <c r="AD12">
        <v>-1.862062016382464E-5</v>
      </c>
      <c r="AE12">
        <v>-2.5058099584686388E-4</v>
      </c>
    </row>
    <row r="13" spans="1:31" x14ac:dyDescent="0.2">
      <c r="A13" t="s">
        <v>85</v>
      </c>
      <c r="B13">
        <v>-0.10610904360929659</v>
      </c>
      <c r="C13">
        <v>-3.9290187020642723E-4</v>
      </c>
      <c r="D13">
        <v>4.6506838305732047E-5</v>
      </c>
      <c r="E13">
        <v>-4.7763362830304066E-4</v>
      </c>
      <c r="F13">
        <v>-6.6099853144790423E-4</v>
      </c>
      <c r="G13">
        <v>-5.5091780507733634E-4</v>
      </c>
      <c r="H13">
        <v>8.6640695569791069E-4</v>
      </c>
      <c r="I13">
        <v>2.5941343493354112E-4</v>
      </c>
      <c r="J13">
        <v>3.2124922831281147E-3</v>
      </c>
      <c r="K13">
        <v>-1.6216075254986076E-6</v>
      </c>
      <c r="L13">
        <v>-8.0538113092835885E-6</v>
      </c>
      <c r="M13">
        <v>4.0757096884264354E-5</v>
      </c>
      <c r="N13">
        <v>1.8637167653943635E-2</v>
      </c>
      <c r="O13">
        <v>8.8574743559555053E-3</v>
      </c>
      <c r="P13">
        <v>8.6032640816207928E-3</v>
      </c>
      <c r="Q13">
        <v>8.7078461278127135E-3</v>
      </c>
      <c r="R13">
        <v>8.75823350676877E-3</v>
      </c>
      <c r="S13">
        <v>8.6414773932690266E-3</v>
      </c>
      <c r="T13">
        <v>8.5772549655046583E-3</v>
      </c>
      <c r="U13">
        <v>8.9156700522328557E-3</v>
      </c>
      <c r="V13">
        <v>8.880421974477401E-3</v>
      </c>
      <c r="W13">
        <v>8.9107849515688009E-3</v>
      </c>
      <c r="X13">
        <v>8.7205857508986708E-3</v>
      </c>
      <c r="Y13">
        <v>-1.5722576656111991E-5</v>
      </c>
      <c r="Z13">
        <v>-3.9258336460971455E-4</v>
      </c>
      <c r="AA13">
        <v>6.5017550578164401E-4</v>
      </c>
      <c r="AB13">
        <v>2.7652849323899133E-3</v>
      </c>
      <c r="AC13">
        <v>4.8688697228543723E-3</v>
      </c>
      <c r="AD13">
        <v>7.4276449223902009E-4</v>
      </c>
      <c r="AE13">
        <v>-1.0773681409472248E-2</v>
      </c>
    </row>
    <row r="14" spans="1:31" x14ac:dyDescent="0.2">
      <c r="A14" t="s">
        <v>86</v>
      </c>
      <c r="B14">
        <v>-2.4184467503940792E-3</v>
      </c>
      <c r="C14">
        <v>-6.3920639172059934E-4</v>
      </c>
      <c r="D14">
        <v>2.7677270965431312E-5</v>
      </c>
      <c r="E14">
        <v>-6.2323979539606448E-4</v>
      </c>
      <c r="F14">
        <v>-8.2224753599390336E-4</v>
      </c>
      <c r="G14">
        <v>-9.5140725892810512E-4</v>
      </c>
      <c r="H14">
        <v>1.8265680571060516E-3</v>
      </c>
      <c r="I14">
        <v>7.839251669838858E-4</v>
      </c>
      <c r="J14">
        <v>3.1028930468956504E-3</v>
      </c>
      <c r="K14">
        <v>-1.3527762951225405E-5</v>
      </c>
      <c r="L14">
        <v>-7.0639677853203173E-6</v>
      </c>
      <c r="M14">
        <v>5.0346587974145075E-5</v>
      </c>
      <c r="N14">
        <v>8.8574743559555053E-3</v>
      </c>
      <c r="O14">
        <v>1.3318067713490624E-2</v>
      </c>
      <c r="P14">
        <v>8.7177711876035915E-3</v>
      </c>
      <c r="Q14">
        <v>8.8630908206405803E-3</v>
      </c>
      <c r="R14">
        <v>8.833002296225155E-3</v>
      </c>
      <c r="S14">
        <v>8.757929867289644E-3</v>
      </c>
      <c r="T14">
        <v>8.7110561525487948E-3</v>
      </c>
      <c r="U14">
        <v>9.1089284817323785E-3</v>
      </c>
      <c r="V14">
        <v>8.9840258011728204E-3</v>
      </c>
      <c r="W14">
        <v>9.0227617277612079E-3</v>
      </c>
      <c r="X14">
        <v>8.8345084832607158E-3</v>
      </c>
      <c r="Y14">
        <v>2.7917954839860198E-5</v>
      </c>
      <c r="Z14">
        <v>-6.2146940058504293E-4</v>
      </c>
      <c r="AA14">
        <v>2.9614087909929083E-4</v>
      </c>
      <c r="AB14">
        <v>2.710442840595839E-3</v>
      </c>
      <c r="AC14">
        <v>4.8398906096306597E-3</v>
      </c>
      <c r="AD14">
        <v>8.9266422744083791E-4</v>
      </c>
      <c r="AE14">
        <v>-9.9008567687118437E-3</v>
      </c>
    </row>
    <row r="15" spans="1:31" x14ac:dyDescent="0.2">
      <c r="A15" t="s">
        <v>87</v>
      </c>
      <c r="B15">
        <v>-0.13100128005291317</v>
      </c>
      <c r="C15">
        <v>-4.0329984539407362E-4</v>
      </c>
      <c r="D15">
        <v>5.2835945416071593E-6</v>
      </c>
      <c r="E15">
        <v>1.9135358824438637E-4</v>
      </c>
      <c r="F15">
        <v>-2.7765188894149188E-4</v>
      </c>
      <c r="G15">
        <v>-3.2062293493092392E-4</v>
      </c>
      <c r="H15">
        <v>9.0128487520303854E-4</v>
      </c>
      <c r="I15">
        <v>7.1086980346561472E-4</v>
      </c>
      <c r="J15">
        <v>3.0429628055083733E-3</v>
      </c>
      <c r="K15">
        <v>3.2893968495307374E-7</v>
      </c>
      <c r="L15">
        <v>5.775840724719312E-6</v>
      </c>
      <c r="M15">
        <v>4.9255452863054228E-5</v>
      </c>
      <c r="N15">
        <v>8.6032640816207928E-3</v>
      </c>
      <c r="O15">
        <v>8.7177711876035915E-3</v>
      </c>
      <c r="P15">
        <v>1.3483960635444207E-2</v>
      </c>
      <c r="Q15">
        <v>8.552799692307796E-3</v>
      </c>
      <c r="R15">
        <v>8.6027186602540516E-3</v>
      </c>
      <c r="S15">
        <v>8.5502688649484859E-3</v>
      </c>
      <c r="T15">
        <v>8.5819516162595668E-3</v>
      </c>
      <c r="U15">
        <v>8.7532401828539566E-3</v>
      </c>
      <c r="V15">
        <v>8.752963220970909E-3</v>
      </c>
      <c r="W15">
        <v>8.8868102578092117E-3</v>
      </c>
      <c r="X15">
        <v>8.5915073647771494E-3</v>
      </c>
      <c r="Y15">
        <v>3.6941936226372873E-7</v>
      </c>
      <c r="Z15">
        <v>-8.1613046402217527E-4</v>
      </c>
      <c r="AA15">
        <v>-3.7092055697363134E-5</v>
      </c>
      <c r="AB15">
        <v>2.9041097365278285E-3</v>
      </c>
      <c r="AC15">
        <v>4.6921908562157057E-3</v>
      </c>
      <c r="AD15">
        <v>-1.4033616868129857E-3</v>
      </c>
      <c r="AE15">
        <v>-9.7587488718375338E-3</v>
      </c>
    </row>
    <row r="16" spans="1:31" x14ac:dyDescent="0.2">
      <c r="A16" t="s">
        <v>88</v>
      </c>
      <c r="B16">
        <v>-7.9957797720011409E-2</v>
      </c>
      <c r="C16">
        <v>-5.1584747869540053E-4</v>
      </c>
      <c r="D16">
        <v>7.8008748714572616E-6</v>
      </c>
      <c r="E16">
        <v>-5.6577086864297802E-4</v>
      </c>
      <c r="F16">
        <v>-8.7812565234781205E-4</v>
      </c>
      <c r="G16">
        <v>-8.302472953532038E-4</v>
      </c>
      <c r="H16">
        <v>1.1543798151999051E-3</v>
      </c>
      <c r="I16">
        <v>7.4500365462919682E-4</v>
      </c>
      <c r="J16">
        <v>3.4584412964149222E-3</v>
      </c>
      <c r="K16">
        <v>-1.5233220022876459E-6</v>
      </c>
      <c r="L16">
        <v>5.1044441983534713E-6</v>
      </c>
      <c r="M16">
        <v>4.9481618176423187E-5</v>
      </c>
      <c r="N16">
        <v>8.7078461278127135E-3</v>
      </c>
      <c r="O16">
        <v>8.8630908206405803E-3</v>
      </c>
      <c r="P16">
        <v>8.552799692307796E-3</v>
      </c>
      <c r="Q16">
        <v>1.2801076648728709E-2</v>
      </c>
      <c r="R16">
        <v>8.6666801251975741E-3</v>
      </c>
      <c r="S16">
        <v>8.5886819842889203E-3</v>
      </c>
      <c r="T16">
        <v>8.5774606552881105E-3</v>
      </c>
      <c r="U16">
        <v>8.8353454710461375E-3</v>
      </c>
      <c r="V16">
        <v>8.8763112338534674E-3</v>
      </c>
      <c r="W16">
        <v>8.819196359965243E-3</v>
      </c>
      <c r="X16">
        <v>8.6364325187945311E-3</v>
      </c>
      <c r="Y16">
        <v>-1.9586506119408467E-5</v>
      </c>
      <c r="Z16">
        <v>-6.6288369844170331E-4</v>
      </c>
      <c r="AA16">
        <v>7.5394106452121297E-4</v>
      </c>
      <c r="AB16">
        <v>1.7092086053834741E-3</v>
      </c>
      <c r="AC16">
        <v>4.6844614763203417E-3</v>
      </c>
      <c r="AD16">
        <v>8.2130705702145469E-4</v>
      </c>
      <c r="AE16">
        <v>-8.9142349093213231E-3</v>
      </c>
    </row>
    <row r="17" spans="1:31" x14ac:dyDescent="0.2">
      <c r="A17" t="s">
        <v>89</v>
      </c>
      <c r="B17">
        <v>-7.2758658035883508E-2</v>
      </c>
      <c r="C17">
        <v>-7.1157721182263747E-4</v>
      </c>
      <c r="D17">
        <v>1.0709453687091932E-5</v>
      </c>
      <c r="E17">
        <v>-1.9326735377077375E-4</v>
      </c>
      <c r="F17">
        <v>-8.5946399319632811E-4</v>
      </c>
      <c r="G17">
        <v>-4.2660121755681325E-4</v>
      </c>
      <c r="H17">
        <v>1.7477783244127729E-3</v>
      </c>
      <c r="I17">
        <v>8.444609272660194E-4</v>
      </c>
      <c r="J17">
        <v>3.4686742898830053E-3</v>
      </c>
      <c r="K17">
        <v>-2.2888094707122368E-6</v>
      </c>
      <c r="L17">
        <v>-9.1504645102211189E-6</v>
      </c>
      <c r="M17">
        <v>5.6666737679096657E-5</v>
      </c>
      <c r="N17">
        <v>8.75823350676877E-3</v>
      </c>
      <c r="O17">
        <v>8.833002296225155E-3</v>
      </c>
      <c r="P17">
        <v>8.6027186602540516E-3</v>
      </c>
      <c r="Q17">
        <v>8.6666801251975741E-3</v>
      </c>
      <c r="R17">
        <v>1.4258162079554E-2</v>
      </c>
      <c r="S17">
        <v>8.6283906461918254E-3</v>
      </c>
      <c r="T17">
        <v>8.6344835835484024E-3</v>
      </c>
      <c r="U17">
        <v>8.8254088015895099E-3</v>
      </c>
      <c r="V17">
        <v>8.8997837374423135E-3</v>
      </c>
      <c r="W17">
        <v>8.8445367196804958E-3</v>
      </c>
      <c r="X17">
        <v>8.6562420721373445E-3</v>
      </c>
      <c r="Y17">
        <v>-7.1446058972780401E-6</v>
      </c>
      <c r="Z17">
        <v>-5.4935761508684549E-4</v>
      </c>
      <c r="AA17">
        <v>7.689986584444639E-4</v>
      </c>
      <c r="AB17">
        <v>2.4456666211927578E-3</v>
      </c>
      <c r="AC17">
        <v>4.0600726408760775E-3</v>
      </c>
      <c r="AD17">
        <v>7.1325899412350013E-4</v>
      </c>
      <c r="AE17">
        <v>-8.8057552264414196E-3</v>
      </c>
    </row>
    <row r="18" spans="1:31" x14ac:dyDescent="0.2">
      <c r="A18" t="s">
        <v>90</v>
      </c>
      <c r="B18">
        <v>-0.14899069392355427</v>
      </c>
      <c r="C18">
        <v>-6.5122468515043611E-4</v>
      </c>
      <c r="D18">
        <v>1.8968581477123788E-5</v>
      </c>
      <c r="E18">
        <v>-2.9172747700135344E-4</v>
      </c>
      <c r="F18">
        <v>-7.6089996716541199E-4</v>
      </c>
      <c r="G18">
        <v>-6.242706829037558E-4</v>
      </c>
      <c r="H18">
        <v>1.3752294962770893E-3</v>
      </c>
      <c r="I18">
        <v>3.5126984084764615E-4</v>
      </c>
      <c r="J18">
        <v>2.4981339258222067E-3</v>
      </c>
      <c r="K18">
        <v>2.7291633233522997E-6</v>
      </c>
      <c r="L18">
        <v>6.2066126711794837E-6</v>
      </c>
      <c r="M18">
        <v>3.585315541097151E-5</v>
      </c>
      <c r="N18">
        <v>8.6414773932690266E-3</v>
      </c>
      <c r="O18">
        <v>8.757929867289644E-3</v>
      </c>
      <c r="P18">
        <v>8.5502688649484859E-3</v>
      </c>
      <c r="Q18">
        <v>8.5886819842889203E-3</v>
      </c>
      <c r="R18">
        <v>8.6283906461918254E-3</v>
      </c>
      <c r="S18">
        <v>1.2936993029384961E-2</v>
      </c>
      <c r="T18">
        <v>8.4955990035757642E-3</v>
      </c>
      <c r="U18">
        <v>8.7616764546211007E-3</v>
      </c>
      <c r="V18">
        <v>8.8133019968264763E-3</v>
      </c>
      <c r="W18">
        <v>8.762456486931974E-3</v>
      </c>
      <c r="X18">
        <v>8.6003683528552508E-3</v>
      </c>
      <c r="Y18">
        <v>2.1855792326887463E-5</v>
      </c>
      <c r="Z18">
        <v>-7.1854355186489285E-4</v>
      </c>
      <c r="AA18">
        <v>1.9290007634588027E-4</v>
      </c>
      <c r="AB18">
        <v>2.5839038318967618E-3</v>
      </c>
      <c r="AC18">
        <v>4.312452442752958E-3</v>
      </c>
      <c r="AD18">
        <v>7.0908013100862187E-4</v>
      </c>
      <c r="AE18">
        <v>-1.0335359318746098E-2</v>
      </c>
    </row>
    <row r="19" spans="1:31" x14ac:dyDescent="0.2">
      <c r="A19" t="s">
        <v>91</v>
      </c>
      <c r="B19">
        <v>2.9727455610690386E-3</v>
      </c>
      <c r="C19">
        <v>-3.9774486378353591E-4</v>
      </c>
      <c r="D19">
        <v>-2.3899854286711761E-5</v>
      </c>
      <c r="E19">
        <v>-2.836778500153788E-4</v>
      </c>
      <c r="F19">
        <v>-7.1854780314317885E-4</v>
      </c>
      <c r="G19">
        <v>-5.3456693740556397E-4</v>
      </c>
      <c r="H19">
        <v>4.9919301845966456E-4</v>
      </c>
      <c r="I19">
        <v>7.0699857874685352E-4</v>
      </c>
      <c r="J19">
        <v>2.6154093472634688E-3</v>
      </c>
      <c r="K19">
        <v>-4.0156929082882771E-6</v>
      </c>
      <c r="L19">
        <v>1.3380839034705168E-5</v>
      </c>
      <c r="M19">
        <v>3.802529838402518E-5</v>
      </c>
      <c r="N19">
        <v>8.5772549655046583E-3</v>
      </c>
      <c r="O19">
        <v>8.7110561525487948E-3</v>
      </c>
      <c r="P19">
        <v>8.5819516162595668E-3</v>
      </c>
      <c r="Q19">
        <v>8.5774606552881105E-3</v>
      </c>
      <c r="R19">
        <v>8.6344835835484024E-3</v>
      </c>
      <c r="S19">
        <v>8.4955990035757642E-3</v>
      </c>
      <c r="T19">
        <v>1.153760342436418E-2</v>
      </c>
      <c r="U19">
        <v>8.8420555543005062E-3</v>
      </c>
      <c r="V19">
        <v>8.821146268440128E-3</v>
      </c>
      <c r="W19">
        <v>8.778918411741379E-3</v>
      </c>
      <c r="X19">
        <v>8.5593118017193159E-3</v>
      </c>
      <c r="Y19">
        <v>1.3781061725255314E-5</v>
      </c>
      <c r="Z19">
        <v>-7.5047732065049015E-4</v>
      </c>
      <c r="AA19">
        <v>2.1780839451867012E-4</v>
      </c>
      <c r="AB19">
        <v>2.7670636499949738E-3</v>
      </c>
      <c r="AC19">
        <v>4.2660144531326064E-3</v>
      </c>
      <c r="AD19">
        <v>-3.8751697660022156E-5</v>
      </c>
      <c r="AE19">
        <v>-7.792412066359557E-3</v>
      </c>
    </row>
    <row r="20" spans="1:31" x14ac:dyDescent="0.2">
      <c r="A20" t="s">
        <v>92</v>
      </c>
      <c r="B20">
        <v>-0.14997576006747992</v>
      </c>
      <c r="C20">
        <v>-3.8345291311568886E-4</v>
      </c>
      <c r="D20">
        <v>9.6326772612006042E-6</v>
      </c>
      <c r="E20">
        <v>-7.8596895404907667E-4</v>
      </c>
      <c r="F20">
        <v>-1.7033770100073069E-3</v>
      </c>
      <c r="G20">
        <v>-5.5035474213840495E-4</v>
      </c>
      <c r="H20">
        <v>8.9578011007944046E-4</v>
      </c>
      <c r="I20">
        <v>5.8553743601788099E-4</v>
      </c>
      <c r="J20">
        <v>3.5874290418149895E-3</v>
      </c>
      <c r="K20">
        <v>-7.1751186694627298E-6</v>
      </c>
      <c r="L20">
        <v>8.3651254309186003E-6</v>
      </c>
      <c r="M20">
        <v>3.6315593448796717E-5</v>
      </c>
      <c r="N20">
        <v>8.9156700522328557E-3</v>
      </c>
      <c r="O20">
        <v>9.1089284817323785E-3</v>
      </c>
      <c r="P20">
        <v>8.7532401828539566E-3</v>
      </c>
      <c r="Q20">
        <v>8.8353454710461375E-3</v>
      </c>
      <c r="R20">
        <v>8.8254088015895099E-3</v>
      </c>
      <c r="S20">
        <v>8.7616764546211007E-3</v>
      </c>
      <c r="T20">
        <v>8.8420555543005062E-3</v>
      </c>
      <c r="U20">
        <v>1.6026961959739985E-2</v>
      </c>
      <c r="V20">
        <v>9.1254324631025903E-3</v>
      </c>
      <c r="W20">
        <v>9.1196943258055347E-3</v>
      </c>
      <c r="X20">
        <v>8.7648286556849322E-3</v>
      </c>
      <c r="Y20">
        <v>4.5696094498453893E-5</v>
      </c>
      <c r="Z20">
        <v>-1.212444673783014E-3</v>
      </c>
      <c r="AA20">
        <v>1.3172705688280517E-3</v>
      </c>
      <c r="AB20">
        <v>3.0778412140359621E-3</v>
      </c>
      <c r="AC20">
        <v>4.5280601506922707E-3</v>
      </c>
      <c r="AD20">
        <v>-1.4687629198215665E-4</v>
      </c>
      <c r="AE20">
        <v>-9.6971454856497157E-3</v>
      </c>
    </row>
    <row r="21" spans="1:31" x14ac:dyDescent="0.2">
      <c r="A21" t="s">
        <v>93</v>
      </c>
      <c r="B21">
        <v>-0.14448430860809575</v>
      </c>
      <c r="C21">
        <v>-5.4459410239249728E-4</v>
      </c>
      <c r="D21">
        <v>9.4845630937102562E-6</v>
      </c>
      <c r="E21">
        <v>-3.4602390719132596E-4</v>
      </c>
      <c r="F21">
        <v>-9.9508972490861035E-4</v>
      </c>
      <c r="G21">
        <v>-9.5393182720703365E-4</v>
      </c>
      <c r="H21">
        <v>7.9999001594319727E-4</v>
      </c>
      <c r="I21">
        <v>8.3697463013424555E-4</v>
      </c>
      <c r="J21">
        <v>2.9578402085868316E-3</v>
      </c>
      <c r="K21">
        <v>-1.4418489279608104E-5</v>
      </c>
      <c r="L21">
        <v>-4.2490788522725096E-6</v>
      </c>
      <c r="M21">
        <v>4.7322110586384083E-5</v>
      </c>
      <c r="N21">
        <v>8.880421974477401E-3</v>
      </c>
      <c r="O21">
        <v>8.9840258011728204E-3</v>
      </c>
      <c r="P21">
        <v>8.752963220970909E-3</v>
      </c>
      <c r="Q21">
        <v>8.8763112338534674E-3</v>
      </c>
      <c r="R21">
        <v>8.8997837374423135E-3</v>
      </c>
      <c r="S21">
        <v>8.8133019968264763E-3</v>
      </c>
      <c r="T21">
        <v>8.821146268440128E-3</v>
      </c>
      <c r="U21">
        <v>9.1254324631025903E-3</v>
      </c>
      <c r="V21">
        <v>1.5865576795163837E-2</v>
      </c>
      <c r="W21">
        <v>9.1231562091929307E-3</v>
      </c>
      <c r="X21">
        <v>8.8369982391681388E-3</v>
      </c>
      <c r="Y21">
        <v>-4.6677830568925228E-6</v>
      </c>
      <c r="Z21">
        <v>-5.4950890627694692E-4</v>
      </c>
      <c r="AA21">
        <v>1.4113588004081501E-3</v>
      </c>
      <c r="AB21">
        <v>3.1499215501964474E-3</v>
      </c>
      <c r="AC21">
        <v>4.7524768266034422E-3</v>
      </c>
      <c r="AD21">
        <v>6.8329221932356284E-4</v>
      </c>
      <c r="AE21">
        <v>-8.4335892990955626E-3</v>
      </c>
    </row>
    <row r="22" spans="1:31" x14ac:dyDescent="0.2">
      <c r="A22" t="s">
        <v>94</v>
      </c>
      <c r="B22">
        <v>-0.15761629018509019</v>
      </c>
      <c r="C22">
        <v>-5.5461483147129821E-4</v>
      </c>
      <c r="D22">
        <v>3.2453993185334264E-5</v>
      </c>
      <c r="E22">
        <v>-2.6222408049252815E-5</v>
      </c>
      <c r="F22">
        <v>-8.773544678941749E-4</v>
      </c>
      <c r="G22">
        <v>-7.5045191069285561E-4</v>
      </c>
      <c r="H22">
        <v>-5.3478562822160437E-5</v>
      </c>
      <c r="I22">
        <v>5.0458507080558578E-4</v>
      </c>
      <c r="J22">
        <v>3.5233228092846152E-3</v>
      </c>
      <c r="K22">
        <v>-1.5774871441245772E-5</v>
      </c>
      <c r="L22">
        <v>8.8061343629500908E-6</v>
      </c>
      <c r="M22">
        <v>5.4179278863718654E-5</v>
      </c>
      <c r="N22">
        <v>8.9107849515688009E-3</v>
      </c>
      <c r="O22">
        <v>9.0227617277612079E-3</v>
      </c>
      <c r="P22">
        <v>8.8868102578092117E-3</v>
      </c>
      <c r="Q22">
        <v>8.819196359965243E-3</v>
      </c>
      <c r="R22">
        <v>8.8445367196804958E-3</v>
      </c>
      <c r="S22">
        <v>8.762456486931974E-3</v>
      </c>
      <c r="T22">
        <v>8.778918411741379E-3</v>
      </c>
      <c r="U22">
        <v>9.1196943258055347E-3</v>
      </c>
      <c r="V22">
        <v>9.1231562091929307E-3</v>
      </c>
      <c r="W22">
        <v>1.4757623514235065E-2</v>
      </c>
      <c r="X22">
        <v>8.8300476460561033E-3</v>
      </c>
      <c r="Y22">
        <v>6.9101259493256867E-5</v>
      </c>
      <c r="Z22">
        <v>-9.8643816292088475E-4</v>
      </c>
      <c r="AA22">
        <v>-1.3226069242045077E-4</v>
      </c>
      <c r="AB22">
        <v>3.0402782858680632E-3</v>
      </c>
      <c r="AC22">
        <v>4.8567000263314841E-3</v>
      </c>
      <c r="AD22">
        <v>1.5827442598888037E-4</v>
      </c>
      <c r="AE22">
        <v>-1.1782762655871869E-2</v>
      </c>
    </row>
    <row r="23" spans="1:31" x14ac:dyDescent="0.2">
      <c r="A23" t="s">
        <v>95</v>
      </c>
      <c r="B23">
        <v>8.6701746825162657E-2</v>
      </c>
      <c r="C23">
        <v>-5.6703134622477678E-4</v>
      </c>
      <c r="D23">
        <v>1.6974801391180091E-5</v>
      </c>
      <c r="E23">
        <v>-9.8042443667949175E-5</v>
      </c>
      <c r="F23">
        <v>-4.5647183533589764E-4</v>
      </c>
      <c r="G23">
        <v>-6.2417677772108951E-4</v>
      </c>
      <c r="H23">
        <v>8.7146783320551317E-4</v>
      </c>
      <c r="I23">
        <v>4.6205862422345212E-4</v>
      </c>
      <c r="J23">
        <v>3.3013676795191774E-3</v>
      </c>
      <c r="K23">
        <v>6.5221650880006865E-6</v>
      </c>
      <c r="L23">
        <v>-3.4578855843296142E-6</v>
      </c>
      <c r="M23">
        <v>4.2515093999430264E-5</v>
      </c>
      <c r="N23">
        <v>8.7205857508986708E-3</v>
      </c>
      <c r="O23">
        <v>8.8345084832607158E-3</v>
      </c>
      <c r="P23">
        <v>8.5915073647771494E-3</v>
      </c>
      <c r="Q23">
        <v>8.6364325187945311E-3</v>
      </c>
      <c r="R23">
        <v>8.6562420721373445E-3</v>
      </c>
      <c r="S23">
        <v>8.6003683528552508E-3</v>
      </c>
      <c r="T23">
        <v>8.5593118017193159E-3</v>
      </c>
      <c r="U23">
        <v>8.7648286556849322E-3</v>
      </c>
      <c r="V23">
        <v>8.8369982391681388E-3</v>
      </c>
      <c r="W23">
        <v>8.8300476460561033E-3</v>
      </c>
      <c r="X23">
        <v>1.3905829675238544E-2</v>
      </c>
      <c r="Y23">
        <v>-3.2966464622140182E-5</v>
      </c>
      <c r="Z23">
        <v>-4.050838454389351E-4</v>
      </c>
      <c r="AA23">
        <v>6.9756724827688176E-4</v>
      </c>
      <c r="AB23">
        <v>3.0331245538247967E-3</v>
      </c>
      <c r="AC23">
        <v>4.7401780451571431E-3</v>
      </c>
      <c r="AD23">
        <v>9.8440527922298376E-4</v>
      </c>
      <c r="AE23">
        <v>-9.4190715498877926E-3</v>
      </c>
    </row>
    <row r="24" spans="1:31" x14ac:dyDescent="0.2">
      <c r="A24" t="s">
        <v>110</v>
      </c>
      <c r="B24">
        <v>4.4739101958899598E-3</v>
      </c>
      <c r="C24">
        <v>1.7816335366108982E-5</v>
      </c>
      <c r="D24">
        <v>1.7193539863246971E-6</v>
      </c>
      <c r="E24">
        <v>-4.1754003198693609E-5</v>
      </c>
      <c r="F24">
        <v>-2.3920127318870265E-5</v>
      </c>
      <c r="G24">
        <v>6.2510485163264485E-5</v>
      </c>
      <c r="H24">
        <v>7.0989933770842367E-6</v>
      </c>
      <c r="I24">
        <v>3.0530638910390706E-5</v>
      </c>
      <c r="J24">
        <v>5.0901750936756902E-6</v>
      </c>
      <c r="K24">
        <v>9.6892093278309833E-7</v>
      </c>
      <c r="L24">
        <v>2.0428810874382202E-6</v>
      </c>
      <c r="M24">
        <v>8.8167270655543704E-7</v>
      </c>
      <c r="N24">
        <v>-1.5722576656111991E-5</v>
      </c>
      <c r="O24">
        <v>2.7917954839860198E-5</v>
      </c>
      <c r="P24">
        <v>3.6941936226372873E-7</v>
      </c>
      <c r="Q24">
        <v>-1.9586506119408467E-5</v>
      </c>
      <c r="R24">
        <v>-7.1446058972780401E-6</v>
      </c>
      <c r="S24">
        <v>2.1855792326887463E-5</v>
      </c>
      <c r="T24">
        <v>1.3781061725255314E-5</v>
      </c>
      <c r="U24">
        <v>4.5696094498453893E-5</v>
      </c>
      <c r="V24">
        <v>-4.6677830568925228E-6</v>
      </c>
      <c r="W24">
        <v>6.9101259493256867E-5</v>
      </c>
      <c r="X24">
        <v>-3.2966464622140182E-5</v>
      </c>
      <c r="Y24">
        <v>4.0234657222987365E-5</v>
      </c>
      <c r="Z24">
        <v>-1.7480776627746506E-4</v>
      </c>
      <c r="AA24">
        <v>-1.9978247887658681E-4</v>
      </c>
      <c r="AB24">
        <v>-4.7494588543874094E-5</v>
      </c>
      <c r="AC24">
        <v>-6.0071882771535099E-6</v>
      </c>
      <c r="AD24">
        <v>-2.53591320855989E-5</v>
      </c>
      <c r="AE24">
        <v>-9.2365907844312034E-4</v>
      </c>
    </row>
    <row r="25" spans="1:31" x14ac:dyDescent="0.2">
      <c r="A25" t="s">
        <v>96</v>
      </c>
      <c r="B25">
        <v>6.561297255069308E-2</v>
      </c>
      <c r="C25">
        <v>-1.0445153185739784E-4</v>
      </c>
      <c r="D25">
        <v>1.92921541115193E-5</v>
      </c>
      <c r="E25">
        <v>3.0268431933717053E-5</v>
      </c>
      <c r="F25">
        <v>1.90998104714918E-4</v>
      </c>
      <c r="G25">
        <v>-2.2431930711887997E-4</v>
      </c>
      <c r="H25">
        <v>2.517083491671132E-4</v>
      </c>
      <c r="I25">
        <v>-1.3352130182301867E-4</v>
      </c>
      <c r="J25">
        <v>5.0690549455920803E-5</v>
      </c>
      <c r="K25">
        <v>-6.0269832972097278E-6</v>
      </c>
      <c r="L25">
        <v>-1.8656930647625741E-5</v>
      </c>
      <c r="M25">
        <v>-1.3640823109104508E-5</v>
      </c>
      <c r="N25">
        <v>-3.9258336460971455E-4</v>
      </c>
      <c r="O25">
        <v>-6.2146940058504293E-4</v>
      </c>
      <c r="P25">
        <v>-8.1613046402217527E-4</v>
      </c>
      <c r="Q25">
        <v>-6.6288369844170331E-4</v>
      </c>
      <c r="R25">
        <v>-5.4935761508684549E-4</v>
      </c>
      <c r="S25">
        <v>-7.1854355186489285E-4</v>
      </c>
      <c r="T25">
        <v>-7.5047732065049015E-4</v>
      </c>
      <c r="U25">
        <v>-1.212444673783014E-3</v>
      </c>
      <c r="V25">
        <v>-5.4950890627694692E-4</v>
      </c>
      <c r="W25">
        <v>-9.8643816292088475E-4</v>
      </c>
      <c r="X25">
        <v>-4.050838454389351E-4</v>
      </c>
      <c r="Y25">
        <v>-1.7480776627746506E-4</v>
      </c>
      <c r="Z25">
        <v>7.7886791976282555E-3</v>
      </c>
      <c r="AA25">
        <v>1.3589968654525799E-3</v>
      </c>
      <c r="AB25">
        <v>2.3748965606359756E-4</v>
      </c>
      <c r="AC25">
        <v>1.9582152181016679E-4</v>
      </c>
      <c r="AD25">
        <v>5.605247827148921E-4</v>
      </c>
      <c r="AE25">
        <v>3.1778072403967389E-3</v>
      </c>
    </row>
    <row r="26" spans="1:31" x14ac:dyDescent="0.2">
      <c r="A26" t="s">
        <v>97</v>
      </c>
      <c r="B26">
        <v>2.5110521985118603E-3</v>
      </c>
      <c r="C26">
        <v>5.0287386656211607E-5</v>
      </c>
      <c r="D26">
        <v>3.6561097127225971E-5</v>
      </c>
      <c r="E26">
        <v>-2.9338966742775815E-4</v>
      </c>
      <c r="F26">
        <v>-2.26127020602922E-4</v>
      </c>
      <c r="G26">
        <v>-3.9015499068313707E-4</v>
      </c>
      <c r="H26">
        <v>-7.3199595178545908E-4</v>
      </c>
      <c r="I26">
        <v>-1.1858653800537061E-4</v>
      </c>
      <c r="J26">
        <v>8.0883578638609713E-4</v>
      </c>
      <c r="K26">
        <v>-1.4228327153770488E-5</v>
      </c>
      <c r="L26">
        <v>1.6796073552119188E-6</v>
      </c>
      <c r="M26">
        <v>2.161479675732314E-5</v>
      </c>
      <c r="N26">
        <v>6.5017550578164401E-4</v>
      </c>
      <c r="O26">
        <v>2.9614087909929083E-4</v>
      </c>
      <c r="P26">
        <v>-3.7092055697363134E-5</v>
      </c>
      <c r="Q26">
        <v>7.5394106452121297E-4</v>
      </c>
      <c r="R26">
        <v>7.689986584444639E-4</v>
      </c>
      <c r="S26">
        <v>1.9290007634588027E-4</v>
      </c>
      <c r="T26">
        <v>2.1780839451867012E-4</v>
      </c>
      <c r="U26">
        <v>1.3172705688280517E-3</v>
      </c>
      <c r="V26">
        <v>1.4113588004081501E-3</v>
      </c>
      <c r="W26">
        <v>-1.3226069242045077E-4</v>
      </c>
      <c r="X26">
        <v>6.9756724827688176E-4</v>
      </c>
      <c r="Y26">
        <v>-1.9978247887658681E-4</v>
      </c>
      <c r="Z26">
        <v>1.3589968654525799E-3</v>
      </c>
      <c r="AA26">
        <v>7.4665231606890065E-3</v>
      </c>
      <c r="AB26">
        <v>5.1907848222972075E-4</v>
      </c>
      <c r="AC26">
        <v>2.5665635960650697E-5</v>
      </c>
      <c r="AD26">
        <v>5.0893120624756727E-5</v>
      </c>
      <c r="AE26">
        <v>4.9527073514084525E-4</v>
      </c>
    </row>
    <row r="27" spans="1:31" x14ac:dyDescent="0.2">
      <c r="A27" t="s">
        <v>98</v>
      </c>
      <c r="B27">
        <v>7.3592577820670076E-3</v>
      </c>
      <c r="C27">
        <v>-4.1801436378177789E-4</v>
      </c>
      <c r="D27">
        <v>4.9589689822686226E-5</v>
      </c>
      <c r="E27">
        <v>2.0258297308884407E-4</v>
      </c>
      <c r="F27">
        <v>-1.343061429796657E-4</v>
      </c>
      <c r="G27">
        <v>-2.9847336911765403E-4</v>
      </c>
      <c r="H27">
        <v>3.7261808331429634E-4</v>
      </c>
      <c r="I27">
        <v>2.3240792338275533E-4</v>
      </c>
      <c r="J27">
        <v>1.0587035757039435E-3</v>
      </c>
      <c r="K27">
        <v>-1.6909154424527646E-6</v>
      </c>
      <c r="L27">
        <v>-1.8450426926339537E-6</v>
      </c>
      <c r="M27">
        <v>2.3248396064246499E-5</v>
      </c>
      <c r="N27">
        <v>2.7652849323899133E-3</v>
      </c>
      <c r="O27">
        <v>2.710442840595839E-3</v>
      </c>
      <c r="P27">
        <v>2.9041097365278285E-3</v>
      </c>
      <c r="Q27">
        <v>1.7092086053834741E-3</v>
      </c>
      <c r="R27">
        <v>2.4456666211927578E-3</v>
      </c>
      <c r="S27">
        <v>2.5839038318967618E-3</v>
      </c>
      <c r="T27">
        <v>2.7670636499949738E-3</v>
      </c>
      <c r="U27">
        <v>3.0778412140359621E-3</v>
      </c>
      <c r="V27">
        <v>3.1499215501964474E-3</v>
      </c>
      <c r="W27">
        <v>3.0402782858680632E-3</v>
      </c>
      <c r="X27">
        <v>3.0331245538247967E-3</v>
      </c>
      <c r="Y27">
        <v>-4.7494588543874094E-5</v>
      </c>
      <c r="Z27">
        <v>2.3748965606359756E-4</v>
      </c>
      <c r="AA27">
        <v>5.1907848222972075E-4</v>
      </c>
      <c r="AB27">
        <v>1.9745619946677142E-2</v>
      </c>
      <c r="AC27">
        <v>1.7330889878853437E-3</v>
      </c>
      <c r="AD27">
        <v>3.042251389298934E-4</v>
      </c>
      <c r="AE27">
        <v>-5.2888400952263645E-3</v>
      </c>
    </row>
    <row r="28" spans="1:31" x14ac:dyDescent="0.2">
      <c r="A28" t="s">
        <v>99</v>
      </c>
      <c r="B28">
        <v>-0.23098139711622587</v>
      </c>
      <c r="C28">
        <v>8.1763118613672157E-5</v>
      </c>
      <c r="D28">
        <v>8.5234331227816446E-6</v>
      </c>
      <c r="E28">
        <v>-2.8901265125892478E-4</v>
      </c>
      <c r="F28">
        <v>-2.7021739027461005E-4</v>
      </c>
      <c r="G28">
        <v>-2.6500858079666224E-4</v>
      </c>
      <c r="H28">
        <v>5.8979586596386892E-4</v>
      </c>
      <c r="I28">
        <v>1.7727059974080648E-5</v>
      </c>
      <c r="J28">
        <v>-1.969840532807088E-3</v>
      </c>
      <c r="K28">
        <v>3.7205927295626414E-6</v>
      </c>
      <c r="L28">
        <v>-1.3933772411134311E-5</v>
      </c>
      <c r="M28">
        <v>2.4274144608201585E-5</v>
      </c>
      <c r="N28">
        <v>4.8688697228543723E-3</v>
      </c>
      <c r="O28">
        <v>4.8398906096306597E-3</v>
      </c>
      <c r="P28">
        <v>4.6921908562157057E-3</v>
      </c>
      <c r="Q28">
        <v>4.6844614763203417E-3</v>
      </c>
      <c r="R28">
        <v>4.0600726408760775E-3</v>
      </c>
      <c r="S28">
        <v>4.312452442752958E-3</v>
      </c>
      <c r="T28">
        <v>4.2660144531326064E-3</v>
      </c>
      <c r="U28">
        <v>4.5280601506922707E-3</v>
      </c>
      <c r="V28">
        <v>4.7524768266034422E-3</v>
      </c>
      <c r="W28">
        <v>4.8567000263314841E-3</v>
      </c>
      <c r="X28">
        <v>4.7401780451571431E-3</v>
      </c>
      <c r="Y28">
        <v>-6.0071882771535099E-6</v>
      </c>
      <c r="Z28">
        <v>1.9582152181016679E-4</v>
      </c>
      <c r="AA28">
        <v>2.5665635960650697E-5</v>
      </c>
      <c r="AB28">
        <v>1.7330889878853437E-3</v>
      </c>
      <c r="AC28">
        <v>2.3081065277517389E-2</v>
      </c>
      <c r="AD28">
        <v>9.6405623494950573E-4</v>
      </c>
      <c r="AE28">
        <v>-4.7697648404936496E-3</v>
      </c>
    </row>
    <row r="29" spans="1:31" x14ac:dyDescent="0.2">
      <c r="A29" t="s">
        <v>100</v>
      </c>
      <c r="B29">
        <v>-5.1366166357260752E-3</v>
      </c>
      <c r="C29">
        <v>4.8143218447135861E-4</v>
      </c>
      <c r="D29">
        <v>-6.9474779583894705E-5</v>
      </c>
      <c r="E29">
        <v>-7.4610736029813419E-4</v>
      </c>
      <c r="F29">
        <v>-6.2941810873907316E-4</v>
      </c>
      <c r="G29">
        <v>-1.0387211319740901E-3</v>
      </c>
      <c r="H29">
        <v>2.6556156047034037E-4</v>
      </c>
      <c r="I29">
        <v>-5.8379105376359051E-5</v>
      </c>
      <c r="J29">
        <v>-2.2074218812946841E-3</v>
      </c>
      <c r="K29">
        <v>5.2278493061046307E-5</v>
      </c>
      <c r="L29">
        <v>-2.7368298128710852E-5</v>
      </c>
      <c r="M29">
        <v>-1.862062016382464E-5</v>
      </c>
      <c r="N29">
        <v>7.4276449223902009E-4</v>
      </c>
      <c r="O29">
        <v>8.9266422744083791E-4</v>
      </c>
      <c r="P29">
        <v>-1.4033616868129857E-3</v>
      </c>
      <c r="Q29">
        <v>8.2130705702145469E-4</v>
      </c>
      <c r="R29">
        <v>7.1325899412350013E-4</v>
      </c>
      <c r="S29">
        <v>7.0908013100862187E-4</v>
      </c>
      <c r="T29">
        <v>-3.8751697660022156E-5</v>
      </c>
      <c r="U29">
        <v>-1.4687629198215665E-4</v>
      </c>
      <c r="V29">
        <v>6.8329221932356284E-4</v>
      </c>
      <c r="W29">
        <v>1.5827442598888037E-4</v>
      </c>
      <c r="X29">
        <v>9.8440527922298376E-4</v>
      </c>
      <c r="Y29">
        <v>-2.53591320855989E-5</v>
      </c>
      <c r="Z29">
        <v>5.605247827148921E-4</v>
      </c>
      <c r="AA29">
        <v>5.0893120624756727E-5</v>
      </c>
      <c r="AB29">
        <v>3.042251389298934E-4</v>
      </c>
      <c r="AC29">
        <v>9.6405623494950573E-4</v>
      </c>
      <c r="AD29">
        <v>4.6241922457798283E-2</v>
      </c>
      <c r="AE29">
        <v>3.5194350498281035E-3</v>
      </c>
    </row>
    <row r="30" spans="1:31" x14ac:dyDescent="0.2">
      <c r="A30" t="s">
        <v>47</v>
      </c>
      <c r="B30">
        <v>9.1092833095279087</v>
      </c>
      <c r="C30">
        <v>3.8211064121187197E-4</v>
      </c>
      <c r="D30">
        <v>-1.5378982261412249E-3</v>
      </c>
      <c r="E30">
        <v>-4.5173405338954781E-3</v>
      </c>
      <c r="F30">
        <v>-4.9089278288959245E-3</v>
      </c>
      <c r="G30">
        <v>-1.0767648376707111E-2</v>
      </c>
      <c r="H30">
        <v>-1.0077086199780014E-2</v>
      </c>
      <c r="I30">
        <v>-1.6707630611906481E-3</v>
      </c>
      <c r="J30">
        <v>-9.1069561281174709E-3</v>
      </c>
      <c r="K30">
        <v>-3.2081013239517017E-4</v>
      </c>
      <c r="L30">
        <v>-4.0925032034185276E-4</v>
      </c>
      <c r="M30">
        <v>-2.5058099584686388E-4</v>
      </c>
      <c r="N30">
        <v>-1.0773681409472248E-2</v>
      </c>
      <c r="O30">
        <v>-9.9008567687118437E-3</v>
      </c>
      <c r="P30">
        <v>-9.7587488718375338E-3</v>
      </c>
      <c r="Q30">
        <v>-8.9142349093213231E-3</v>
      </c>
      <c r="R30">
        <v>-8.8057552264414196E-3</v>
      </c>
      <c r="S30">
        <v>-1.0335359318746098E-2</v>
      </c>
      <c r="T30">
        <v>-7.792412066359557E-3</v>
      </c>
      <c r="U30">
        <v>-9.6971454856497157E-3</v>
      </c>
      <c r="V30">
        <v>-8.4335892990955626E-3</v>
      </c>
      <c r="W30">
        <v>-1.1782762655871869E-2</v>
      </c>
      <c r="X30">
        <v>-9.4190715498877926E-3</v>
      </c>
      <c r="Y30">
        <v>-9.2365907844312034E-4</v>
      </c>
      <c r="Z30">
        <v>3.1778072403967389E-3</v>
      </c>
      <c r="AA30">
        <v>4.9527073514084525E-4</v>
      </c>
      <c r="AB30">
        <v>-5.2888400952263645E-3</v>
      </c>
      <c r="AC30">
        <v>-4.7697648404936496E-3</v>
      </c>
      <c r="AD30">
        <v>3.5194350498281035E-3</v>
      </c>
      <c r="AE30">
        <v>0.16685074049259685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I1a-comp</vt:lpstr>
      <vt:lpstr>I1b-comp</vt:lpstr>
      <vt:lpstr>I2b-comp</vt:lpstr>
      <vt:lpstr>I3a-comp</vt:lpstr>
      <vt:lpstr>I3b-comp</vt:lpstr>
      <vt:lpstr>Info</vt:lpstr>
      <vt:lpstr>Gof</vt:lpstr>
      <vt:lpstr>I1a_orig</vt:lpstr>
      <vt:lpstr>I1b_orig</vt:lpstr>
      <vt:lpstr>I2b_orig</vt:lpstr>
      <vt:lpstr>I3a_orig</vt:lpstr>
      <vt:lpstr>I3b_orig</vt:lpstr>
      <vt:lpstr>I1a</vt:lpstr>
      <vt:lpstr>I1b</vt:lpstr>
      <vt:lpstr>I2b</vt:lpstr>
      <vt:lpstr>I3a</vt:lpstr>
      <vt:lpstr>I3b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Sonnewald</cp:lastModifiedBy>
  <dcterms:modified xsi:type="dcterms:W3CDTF">2026-05-29T14:27:40Z</dcterms:modified>
</cp:coreProperties>
</file>