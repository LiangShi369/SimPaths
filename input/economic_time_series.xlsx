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MyFiles\99 DEV ENV\JAS-MINE\SimPaths\input\"/>
    </mc:Choice>
  </mc:AlternateContent>
  <xr:revisionPtr revIDLastSave="0" documentId="13_ncr:1_{08371D10-614A-433D-8E69-DC8F92D8F269}" xr6:coauthVersionLast="47" xr6:coauthVersionMax="47" xr10:uidLastSave="{00000000-0000-0000-0000-000000000000}"/>
  <bookViews>
    <workbookView xWindow="-110" yWindow="-110" windowWidth="38620" windowHeight="21100" activeTab="1" xr2:uid="{00000000-000D-0000-FFFF-FFFF00000000}"/>
  </bookViews>
  <sheets>
    <sheet name="Info" sheetId="1" r:id="rId1"/>
    <sheet name="gdp" sheetId="2" r:id="rId2"/>
    <sheet name="inflation" sheetId="7" r:id="rId3"/>
    <sheet name="wage_growth" sheetId="8" r:id="rId4"/>
    <sheet name="saving_returns" sheetId="9" r:id="rId5"/>
    <sheet name="debt_cost_low" sheetId="10" r:id="rId6"/>
    <sheet name="debt_cost_hi" sheetId="11" r:id="rId7"/>
    <sheet name="carer_hourly_wage" sheetId="13" r:id="rId8"/>
    <sheet name="pension_returns" sheetId="25" r:id="rId9"/>
    <sheet name="housing_returns" sheetId="26" r:id="rId10"/>
    <sheet name="mortgage_rates" sheetId="27" r:id="rId11"/>
    <sheet name="UK raw data" sheetId="12"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L9" i="12" l="1"/>
  <c r="CM9" i="12"/>
  <c r="CN9" i="12"/>
  <c r="CL10" i="12"/>
  <c r="CM10" i="12"/>
  <c r="CN10" i="12"/>
  <c r="CL11" i="12"/>
  <c r="CM11" i="12"/>
  <c r="CN11" i="12"/>
  <c r="CL12" i="12"/>
  <c r="CM12" i="12"/>
  <c r="CN12" i="12"/>
  <c r="CL13" i="12"/>
  <c r="CM13" i="12"/>
  <c r="CN13" i="12"/>
  <c r="CL14" i="12"/>
  <c r="CM14" i="12"/>
  <c r="CN14" i="12"/>
  <c r="CL15" i="12"/>
  <c r="CM15" i="12"/>
  <c r="CN15" i="12"/>
  <c r="CL16" i="12"/>
  <c r="CM16" i="12"/>
  <c r="CN16" i="12"/>
  <c r="CL17" i="12"/>
  <c r="CM17" i="12"/>
  <c r="CN17" i="12"/>
  <c r="CL18" i="12"/>
  <c r="CM18" i="12"/>
  <c r="CN18" i="12"/>
  <c r="CL19" i="12"/>
  <c r="CM19" i="12"/>
  <c r="CN19" i="12"/>
  <c r="CL20" i="12"/>
  <c r="CM20" i="12"/>
  <c r="CN20" i="12"/>
  <c r="CL21" i="12"/>
  <c r="CM21" i="12"/>
  <c r="CN21" i="12"/>
  <c r="CL22" i="12"/>
  <c r="CM22" i="12"/>
  <c r="CN22" i="12"/>
  <c r="CL23" i="12"/>
  <c r="CM23" i="12"/>
  <c r="CN23" i="12"/>
  <c r="CK10" i="12"/>
  <c r="CK11" i="12"/>
  <c r="CK12" i="12"/>
  <c r="CK13" i="12"/>
  <c r="CK14" i="12"/>
  <c r="CK15" i="12"/>
  <c r="CK16" i="12"/>
  <c r="CK17" i="12"/>
  <c r="CK18" i="12"/>
  <c r="CK19" i="12"/>
  <c r="CK20" i="12"/>
  <c r="CK21" i="12"/>
  <c r="CK22" i="12"/>
  <c r="CK23" i="12"/>
  <c r="CK9" i="12"/>
  <c r="G42" i="12"/>
  <c r="G41" i="12"/>
  <c r="G40" i="12"/>
  <c r="G39" i="12"/>
  <c r="AU44" i="12"/>
  <c r="AQ9" i="12"/>
  <c r="AQ10" i="12"/>
  <c r="AQ11" i="12"/>
  <c r="AQ12" i="12"/>
  <c r="AQ13" i="12"/>
  <c r="AQ14" i="12"/>
  <c r="AQ15" i="12"/>
  <c r="AQ16" i="12"/>
  <c r="AQ17" i="12"/>
  <c r="AQ18" i="12"/>
  <c r="AQ19" i="12"/>
  <c r="AQ20" i="12"/>
  <c r="AQ21" i="12"/>
  <c r="AQ22" i="12"/>
  <c r="AQ23" i="12"/>
  <c r="AQ24" i="12"/>
  <c r="AQ25" i="12"/>
  <c r="AQ26" i="12"/>
  <c r="AQ27" i="12"/>
  <c r="AQ28" i="12"/>
  <c r="AQ29" i="12"/>
  <c r="AQ30" i="12"/>
  <c r="AQ31" i="12"/>
  <c r="AQ32" i="12"/>
  <c r="AQ33" i="12"/>
  <c r="AQ34" i="12"/>
  <c r="AQ35" i="12"/>
  <c r="AQ36" i="12"/>
  <c r="AQ37" i="12"/>
  <c r="AQ38" i="12"/>
  <c r="AQ39" i="12"/>
  <c r="AQ40" i="12"/>
  <c r="AQ41" i="12"/>
  <c r="AQ42" i="12"/>
  <c r="AQ43" i="12"/>
  <c r="AQ44" i="12"/>
  <c r="AQ45" i="12"/>
  <c r="AQ46" i="12"/>
  <c r="AQ47" i="12"/>
  <c r="AQ48" i="12"/>
  <c r="AQ49" i="12"/>
  <c r="AQ50" i="12"/>
  <c r="AQ51" i="12"/>
  <c r="AQ52" i="12"/>
  <c r="AQ53" i="12"/>
  <c r="AQ8" i="12"/>
  <c r="S26" i="12"/>
  <c r="S25" i="12"/>
  <c r="S24" i="12"/>
  <c r="S23" i="12"/>
  <c r="S22" i="12"/>
  <c r="S21" i="12"/>
  <c r="S20" i="12"/>
  <c r="S19" i="12"/>
  <c r="S18" i="12"/>
  <c r="S17" i="12"/>
  <c r="S16" i="12"/>
  <c r="S15" i="12"/>
  <c r="S14" i="12"/>
  <c r="S13" i="12"/>
  <c r="S12" i="12"/>
  <c r="S11" i="12"/>
  <c r="S10" i="12"/>
  <c r="S9" i="12"/>
  <c r="S8" i="12"/>
  <c r="Z28" i="12"/>
  <c r="Z53" i="12"/>
  <c r="Z54" i="12"/>
  <c r="Z55" i="12"/>
  <c r="Z56" i="12"/>
  <c r="Z57" i="12"/>
  <c r="Z58" i="12"/>
  <c r="Z59" i="12"/>
  <c r="Z60" i="12"/>
  <c r="Z61" i="12"/>
  <c r="Z62" i="12"/>
  <c r="Z63" i="12"/>
  <c r="Z64" i="12"/>
  <c r="Z52" i="12"/>
  <c r="Z51" i="12"/>
  <c r="Z26" i="12"/>
  <c r="Z27" i="12"/>
  <c r="Z29" i="12"/>
  <c r="Z30" i="12"/>
  <c r="Z31" i="12"/>
  <c r="Z32" i="12"/>
  <c r="Z33" i="12"/>
  <c r="Z34" i="12"/>
  <c r="Z35" i="12"/>
  <c r="Z36" i="12"/>
  <c r="Z37" i="12"/>
  <c r="Z38" i="12"/>
  <c r="Z39" i="12"/>
  <c r="Z40" i="12"/>
  <c r="Z41" i="12"/>
  <c r="Z42" i="12"/>
  <c r="Z43" i="12"/>
  <c r="Z44" i="12"/>
  <c r="Z45" i="12"/>
  <c r="Z46" i="12"/>
  <c r="Z47" i="12"/>
  <c r="Z48" i="12"/>
  <c r="Z49" i="12"/>
  <c r="Z50" i="12"/>
  <c r="Z24" i="12"/>
  <c r="Z23" i="12"/>
  <c r="Z22" i="12"/>
  <c r="Z25" i="12"/>
  <c r="Z10" i="12"/>
  <c r="Z11" i="12"/>
  <c r="Z12" i="12"/>
  <c r="Z13" i="12"/>
  <c r="Z14" i="12"/>
  <c r="Z15" i="12"/>
  <c r="Z16" i="12"/>
  <c r="Z17" i="12"/>
  <c r="Z18" i="12"/>
  <c r="Z19" i="12"/>
  <c r="Z20" i="12"/>
  <c r="Z21" i="12"/>
  <c r="Z9" i="12"/>
  <c r="S28" i="12"/>
  <c r="S29" i="12"/>
  <c r="S30" i="12"/>
  <c r="S31" i="12"/>
  <c r="S32" i="12"/>
  <c r="S33" i="12"/>
  <c r="S34" i="12"/>
  <c r="S35" i="12"/>
  <c r="S36" i="12"/>
  <c r="S37" i="12"/>
  <c r="S38" i="12"/>
  <c r="S39" i="12"/>
  <c r="S40" i="12"/>
  <c r="S41" i="12"/>
  <c r="S42" i="12"/>
  <c r="S43" i="12"/>
  <c r="S44" i="12"/>
  <c r="S45" i="12"/>
  <c r="S46" i="12"/>
  <c r="S47" i="12"/>
  <c r="S48" i="12"/>
  <c r="S49" i="12"/>
  <c r="S50" i="12"/>
  <c r="S51" i="12"/>
  <c r="S52" i="12"/>
  <c r="S53" i="12"/>
  <c r="S54" i="12"/>
  <c r="S55" i="12"/>
  <c r="S56" i="12"/>
  <c r="S57" i="12"/>
  <c r="S58" i="12"/>
  <c r="S59" i="12"/>
  <c r="S60" i="12"/>
  <c r="S61" i="12"/>
  <c r="S62" i="12"/>
  <c r="S63" i="12"/>
  <c r="S64" i="12"/>
  <c r="S27" i="12"/>
  <c r="N8" i="12"/>
  <c r="D15" i="12"/>
  <c r="D18" i="12"/>
  <c r="D17" i="12"/>
  <c r="D16" i="12"/>
  <c r="BN10" i="12"/>
  <c r="BN11" i="12"/>
  <c r="BN12" i="12"/>
  <c r="BN13" i="12"/>
  <c r="BN14" i="12"/>
  <c r="BN15" i="12"/>
  <c r="BN16" i="12"/>
  <c r="BN17" i="12"/>
  <c r="BN18" i="12"/>
  <c r="BN19" i="12"/>
  <c r="BN20" i="12"/>
  <c r="BN9" i="12"/>
  <c r="BI10" i="12"/>
  <c r="BJ10" i="12"/>
  <c r="BI11" i="12"/>
  <c r="BJ11" i="12"/>
  <c r="BI12" i="12"/>
  <c r="BJ12" i="12"/>
  <c r="BI13" i="12"/>
  <c r="BJ13" i="12"/>
  <c r="BI14" i="12"/>
  <c r="BJ14" i="12"/>
  <c r="BI15" i="12"/>
  <c r="BJ15" i="12"/>
  <c r="BI16" i="12"/>
  <c r="BJ16" i="12"/>
  <c r="BI17" i="12"/>
  <c r="BJ17" i="12"/>
  <c r="BI18" i="12"/>
  <c r="BJ18" i="12"/>
  <c r="BI19" i="12"/>
  <c r="BJ19" i="12"/>
  <c r="BI20" i="12"/>
  <c r="BJ20" i="12"/>
  <c r="BI21" i="12"/>
  <c r="BJ21" i="12"/>
  <c r="BI22" i="12"/>
  <c r="BJ22" i="12"/>
  <c r="BI23" i="12"/>
  <c r="BJ23" i="12"/>
  <c r="BI24" i="12"/>
  <c r="BJ24" i="12"/>
  <c r="BI25" i="12"/>
  <c r="BJ25" i="12"/>
  <c r="BI26" i="12"/>
  <c r="BJ26" i="12"/>
  <c r="BI27" i="12"/>
  <c r="BJ27" i="12"/>
  <c r="BI28" i="12"/>
  <c r="BJ28" i="12"/>
  <c r="BI29" i="12"/>
  <c r="BJ29" i="12"/>
  <c r="BI30" i="12"/>
  <c r="BJ30" i="12"/>
  <c r="BI31" i="12"/>
  <c r="BJ31" i="12"/>
  <c r="BI32" i="12"/>
  <c r="BJ32" i="12"/>
  <c r="BI33" i="12"/>
  <c r="BJ33" i="12"/>
  <c r="BI34" i="12"/>
  <c r="BJ34" i="12"/>
  <c r="BI35" i="12"/>
  <c r="BJ35" i="12"/>
  <c r="BJ9" i="12"/>
  <c r="BI9" i="12"/>
  <c r="BH9" i="12"/>
  <c r="BH8" i="12" s="1"/>
  <c r="AZ9" i="12"/>
  <c r="AZ8" i="12" s="1"/>
  <c r="P29" i="12"/>
  <c r="P8" i="12"/>
  <c r="P7" i="12" s="1"/>
  <c r="E16" i="12"/>
  <c r="E17" i="12"/>
  <c r="E18" i="12"/>
  <c r="E19" i="12"/>
  <c r="E20" i="12"/>
  <c r="E21" i="12"/>
  <c r="E22" i="12"/>
  <c r="E23" i="12"/>
  <c r="E24" i="12"/>
  <c r="E25" i="12"/>
  <c r="E26" i="12"/>
  <c r="E27" i="12"/>
  <c r="E28" i="12"/>
  <c r="E29" i="12"/>
  <c r="E30" i="12"/>
  <c r="E31" i="12"/>
  <c r="E32" i="12"/>
  <c r="E33" i="12"/>
  <c r="E34" i="12"/>
  <c r="E35" i="12"/>
  <c r="E36" i="12"/>
  <c r="E37" i="12"/>
  <c r="E38" i="12"/>
  <c r="E39" i="12"/>
  <c r="E40" i="12"/>
  <c r="E41" i="12"/>
  <c r="E42" i="12"/>
  <c r="E43" i="12"/>
  <c r="E44" i="12"/>
  <c r="E45" i="12"/>
  <c r="E46" i="12"/>
  <c r="E47" i="12"/>
  <c r="E48" i="12"/>
  <c r="E15" i="12"/>
  <c r="E14" i="12" s="1"/>
  <c r="N29" i="12"/>
  <c r="BV9" i="12"/>
  <c r="BV10" i="12" s="1"/>
  <c r="BV11" i="12" s="1"/>
  <c r="BV12" i="12" s="1"/>
  <c r="BV13" i="12" s="1"/>
  <c r="BV14" i="12" s="1"/>
  <c r="BV15" i="12" s="1"/>
  <c r="BV16" i="12" s="1"/>
  <c r="BV17" i="12" s="1"/>
  <c r="BV18" i="12" s="1"/>
  <c r="BV19" i="12" s="1"/>
  <c r="BV20" i="12" s="1"/>
  <c r="BV21" i="12" s="1"/>
  <c r="BV22" i="12" s="1"/>
  <c r="BV23" i="12" s="1"/>
  <c r="BV24" i="12" s="1"/>
  <c r="BV25" i="12" s="1"/>
  <c r="BV26" i="12" s="1"/>
  <c r="BV27" i="12" s="1"/>
  <c r="BV28" i="12" s="1"/>
  <c r="BV29" i="12" l="1"/>
  <c r="CB28" i="12"/>
  <c r="BV30" i="12" l="1"/>
  <c r="CB29" i="12"/>
  <c r="AW10" i="12"/>
  <c r="AZ10" i="12" s="1"/>
  <c r="N9" i="12"/>
  <c r="N10" i="12"/>
  <c r="N11" i="12"/>
  <c r="N12" i="12"/>
  <c r="N13" i="12"/>
  <c r="N14" i="12"/>
  <c r="N15" i="12"/>
  <c r="N16" i="12"/>
  <c r="N17" i="12"/>
  <c r="N18" i="12"/>
  <c r="N19" i="12"/>
  <c r="N20" i="12"/>
  <c r="N21" i="12"/>
  <c r="N22" i="12"/>
  <c r="N23" i="12"/>
  <c r="N24" i="12"/>
  <c r="N25" i="12"/>
  <c r="N26" i="12"/>
  <c r="N27" i="12"/>
  <c r="N28" i="12"/>
  <c r="K30" i="12"/>
  <c r="K9" i="12"/>
  <c r="K31" i="12" l="1"/>
  <c r="P30" i="12"/>
  <c r="K10" i="12"/>
  <c r="P9" i="12"/>
  <c r="N30" i="12"/>
  <c r="BV31" i="12"/>
  <c r="CB30" i="12"/>
  <c r="AW11" i="12"/>
  <c r="AW12" i="12" l="1"/>
  <c r="AZ11" i="12"/>
  <c r="K32" i="12"/>
  <c r="P31" i="12"/>
  <c r="N31" i="12"/>
  <c r="K11" i="12"/>
  <c r="P10" i="12"/>
  <c r="BV32" i="12"/>
  <c r="CB31" i="12"/>
  <c r="AW13" i="12" l="1"/>
  <c r="AZ12" i="12"/>
  <c r="K12" i="12"/>
  <c r="P11" i="12"/>
  <c r="N32" i="12"/>
  <c r="K33" i="12"/>
  <c r="P32" i="12"/>
  <c r="BV33" i="12"/>
  <c r="CB32" i="12"/>
  <c r="BT10" i="12"/>
  <c r="BT9" i="12"/>
  <c r="D25" i="12"/>
  <c r="F25" i="12" s="1"/>
  <c r="D24" i="12"/>
  <c r="F24" i="12" s="1"/>
  <c r="D23" i="12"/>
  <c r="F23" i="12" s="1"/>
  <c r="D22" i="12"/>
  <c r="F22" i="12" s="1"/>
  <c r="D21" i="12"/>
  <c r="F21" i="12" s="1"/>
  <c r="D20" i="12"/>
  <c r="F20" i="12" s="1"/>
  <c r="D19" i="12"/>
  <c r="F19" i="12" s="1"/>
  <c r="F18" i="12"/>
  <c r="F17" i="12"/>
  <c r="F16" i="12"/>
  <c r="F15" i="12"/>
  <c r="AA28" i="12" s="1"/>
  <c r="AB28" i="12" s="1"/>
  <c r="D27" i="12"/>
  <c r="F27" i="12" s="1"/>
  <c r="D28" i="12"/>
  <c r="F28" i="12" s="1"/>
  <c r="D29" i="12"/>
  <c r="F29" i="12" s="1"/>
  <c r="D30" i="12"/>
  <c r="F30" i="12" s="1"/>
  <c r="D31" i="12"/>
  <c r="F31" i="12" s="1"/>
  <c r="D32" i="12"/>
  <c r="F32" i="12" s="1"/>
  <c r="D33" i="12"/>
  <c r="F33" i="12" s="1"/>
  <c r="D34" i="12"/>
  <c r="F34" i="12" s="1"/>
  <c r="D35" i="12"/>
  <c r="F35" i="12" s="1"/>
  <c r="D36" i="12"/>
  <c r="F36" i="12" s="1"/>
  <c r="D37" i="12"/>
  <c r="F37" i="12" s="1"/>
  <c r="D38" i="12"/>
  <c r="F38" i="12" s="1"/>
  <c r="D39" i="12"/>
  <c r="F39" i="12" s="1"/>
  <c r="D40" i="12"/>
  <c r="F40" i="12" s="1"/>
  <c r="D41" i="12"/>
  <c r="F41" i="12" s="1"/>
  <c r="D42" i="12"/>
  <c r="F42" i="12" s="1"/>
  <c r="D43" i="12"/>
  <c r="F43" i="12" s="1"/>
  <c r="D44" i="12"/>
  <c r="F44" i="12" s="1"/>
  <c r="D45" i="12"/>
  <c r="F45" i="12" s="1"/>
  <c r="D46" i="12"/>
  <c r="F46" i="12" s="1"/>
  <c r="D47" i="12"/>
  <c r="F47" i="12" s="1"/>
  <c r="D48" i="12"/>
  <c r="F48" i="12" s="1"/>
  <c r="D49" i="12"/>
  <c r="D26" i="12"/>
  <c r="F26" i="12" s="1"/>
  <c r="BT8" i="12"/>
  <c r="BS12" i="12"/>
  <c r="BT12" i="12" s="1"/>
  <c r="BS13" i="12"/>
  <c r="BT13" i="12" s="1"/>
  <c r="BS14" i="12"/>
  <c r="BT14" i="12" s="1"/>
  <c r="BS15" i="12"/>
  <c r="BT15" i="12" s="1"/>
  <c r="BS16" i="12"/>
  <c r="BT16" i="12" s="1"/>
  <c r="BS17" i="12"/>
  <c r="BT17" i="12" s="1"/>
  <c r="BS18" i="12"/>
  <c r="BT18" i="12" s="1"/>
  <c r="BS19" i="12"/>
  <c r="BT19" i="12" s="1"/>
  <c r="BS20" i="12"/>
  <c r="BT20" i="12" s="1"/>
  <c r="BS21" i="12"/>
  <c r="BT21" i="12" s="1"/>
  <c r="BS22" i="12"/>
  <c r="BT22" i="12" s="1"/>
  <c r="BS23" i="12"/>
  <c r="BT23" i="12" s="1"/>
  <c r="BS24" i="12"/>
  <c r="BT24" i="12" s="1"/>
  <c r="BS25" i="12"/>
  <c r="BT25" i="12" s="1"/>
  <c r="BS26" i="12"/>
  <c r="BT26" i="12" s="1"/>
  <c r="BS27" i="12"/>
  <c r="BT27" i="12" s="1"/>
  <c r="BS28" i="12"/>
  <c r="BT28" i="12" s="1"/>
  <c r="BS29" i="12"/>
  <c r="BT29" i="12" s="1"/>
  <c r="BS30" i="12"/>
  <c r="BT30" i="12" s="1"/>
  <c r="BS31" i="12"/>
  <c r="BT31" i="12" s="1"/>
  <c r="BS32" i="12"/>
  <c r="BT32" i="12" s="1"/>
  <c r="BS33" i="12"/>
  <c r="BT33" i="12" s="1"/>
  <c r="BS34" i="12"/>
  <c r="BT34" i="12" s="1"/>
  <c r="BS35" i="12"/>
  <c r="BT35" i="12" s="1"/>
  <c r="BS36" i="12"/>
  <c r="BT36" i="12" s="1"/>
  <c r="BS37" i="12"/>
  <c r="BT37" i="12" s="1"/>
  <c r="BS38" i="12"/>
  <c r="BT38" i="12" s="1"/>
  <c r="BS39" i="12"/>
  <c r="BT39" i="12" s="1"/>
  <c r="BS40" i="12"/>
  <c r="BT40" i="12" s="1"/>
  <c r="BS41" i="12"/>
  <c r="BT41" i="12" s="1"/>
  <c r="BS42" i="12"/>
  <c r="BT42" i="12" s="1"/>
  <c r="BS43" i="12"/>
  <c r="BT43" i="12" s="1"/>
  <c r="BS44" i="12"/>
  <c r="BT44" i="12" s="1"/>
  <c r="BS45" i="12"/>
  <c r="BT45" i="12" s="1"/>
  <c r="BS46" i="12"/>
  <c r="BT46" i="12" s="1"/>
  <c r="BS47" i="12"/>
  <c r="BT47" i="12" s="1"/>
  <c r="BS48" i="12"/>
  <c r="BT48" i="12" s="1"/>
  <c r="BS49" i="12"/>
  <c r="BT49" i="12" s="1"/>
  <c r="BS50" i="12"/>
  <c r="BT50" i="12" s="1"/>
  <c r="BS51" i="12"/>
  <c r="BT51" i="12" s="1"/>
  <c r="BS52" i="12"/>
  <c r="BT52" i="12" s="1"/>
  <c r="BS53" i="12"/>
  <c r="BT53" i="12" s="1"/>
  <c r="BS54" i="12"/>
  <c r="BT54" i="12" s="1"/>
  <c r="BS55" i="12"/>
  <c r="BT55" i="12" s="1"/>
  <c r="BS56" i="12"/>
  <c r="BT56" i="12" s="1"/>
  <c r="BS57" i="12"/>
  <c r="BT57" i="12" s="1"/>
  <c r="BS58" i="12"/>
  <c r="BT58" i="12" s="1"/>
  <c r="BS59" i="12"/>
  <c r="BT59" i="12" s="1"/>
  <c r="BS60" i="12"/>
  <c r="BT60" i="12" s="1"/>
  <c r="BS61" i="12"/>
  <c r="BT61" i="12" s="1"/>
  <c r="BS62" i="12"/>
  <c r="BT62" i="12" s="1"/>
  <c r="BS63" i="12"/>
  <c r="BT63" i="12" s="1"/>
  <c r="BS64" i="12"/>
  <c r="BT64" i="12" s="1"/>
  <c r="BS65" i="12"/>
  <c r="BT65" i="12" s="1"/>
  <c r="BS66" i="12"/>
  <c r="BT66" i="12" s="1"/>
  <c r="BS67" i="12"/>
  <c r="BT67" i="12" s="1"/>
  <c r="BS68" i="12"/>
  <c r="BT68" i="12" s="1"/>
  <c r="BS69" i="12"/>
  <c r="BT69" i="12" s="1"/>
  <c r="BS70" i="12"/>
  <c r="BT70" i="12" s="1"/>
  <c r="BS71" i="12"/>
  <c r="BT71" i="12" s="1"/>
  <c r="BS72" i="12"/>
  <c r="BT72" i="12" s="1"/>
  <c r="BS73" i="12"/>
  <c r="BT73" i="12" s="1"/>
  <c r="BS74" i="12"/>
  <c r="BT74" i="12" s="1"/>
  <c r="BS75" i="12"/>
  <c r="BT75" i="12" s="1"/>
  <c r="BS76" i="12"/>
  <c r="BT76" i="12" s="1"/>
  <c r="BS77" i="12"/>
  <c r="BT77" i="12" s="1"/>
  <c r="BS78" i="12"/>
  <c r="BT78" i="12" s="1"/>
  <c r="BS79" i="12"/>
  <c r="BT79" i="12" s="1"/>
  <c r="BS80" i="12"/>
  <c r="BT80" i="12" s="1"/>
  <c r="BS81" i="12"/>
  <c r="BT81" i="12" s="1"/>
  <c r="BS11" i="12"/>
  <c r="BT11" i="12" s="1"/>
  <c r="BQ82" i="12"/>
  <c r="BQ83" i="12" s="1"/>
  <c r="BQ84" i="12" s="1"/>
  <c r="BQ85" i="12" s="1"/>
  <c r="BQ86" i="12" s="1"/>
  <c r="BQ87" i="12" s="1"/>
  <c r="BQ88" i="12" s="1"/>
  <c r="BQ89" i="12" s="1"/>
  <c r="BQ90" i="12" s="1"/>
  <c r="BQ91" i="12" s="1"/>
  <c r="BQ92" i="12" s="1"/>
  <c r="BQ93" i="12" s="1"/>
  <c r="BQ94" i="12" s="1"/>
  <c r="BQ95" i="12" s="1"/>
  <c r="BQ96" i="12" s="1"/>
  <c r="BQ97" i="12" s="1"/>
  <c r="BQ98" i="12" s="1"/>
  <c r="BQ99" i="12" s="1"/>
  <c r="BQ100" i="12" s="1"/>
  <c r="BQ101" i="12" s="1"/>
  <c r="BQ102" i="12" s="1"/>
  <c r="BQ103" i="12" s="1"/>
  <c r="BQ104" i="12" s="1"/>
  <c r="BQ105" i="12" s="1"/>
  <c r="BQ106" i="12" s="1"/>
  <c r="BQ107" i="12" s="1"/>
  <c r="BQ108" i="12" s="1"/>
  <c r="BQ109" i="12" s="1"/>
  <c r="BQ110" i="12" s="1"/>
  <c r="BQ111" i="12" s="1"/>
  <c r="BQ112" i="12" s="1"/>
  <c r="BQ113" i="12" s="1"/>
  <c r="BQ114" i="12" s="1"/>
  <c r="BQ115" i="12" s="1"/>
  <c r="BQ116" i="12" s="1"/>
  <c r="BQ117" i="12" s="1"/>
  <c r="BQ118" i="12" s="1"/>
  <c r="BQ119" i="12" s="1"/>
  <c r="BQ120" i="12" s="1"/>
  <c r="AU43" i="12"/>
  <c r="AU42" i="12"/>
  <c r="AU41" i="12"/>
  <c r="AU40" i="12"/>
  <c r="AU39" i="12"/>
  <c r="AU38" i="12"/>
  <c r="AU37" i="12"/>
  <c r="AU36" i="12"/>
  <c r="AU35" i="12"/>
  <c r="AU34" i="12"/>
  <c r="AU33" i="12"/>
  <c r="AU32" i="12"/>
  <c r="A49" i="12"/>
  <c r="E49" i="12" s="1"/>
  <c r="AU31" i="12"/>
  <c r="AU30" i="12"/>
  <c r="AU29" i="12"/>
  <c r="AU28" i="12"/>
  <c r="AU27" i="12"/>
  <c r="AU26" i="12"/>
  <c r="AU25" i="12"/>
  <c r="AU24" i="12"/>
  <c r="AU23" i="12"/>
  <c r="AU22" i="12"/>
  <c r="AU21" i="12"/>
  <c r="AU20" i="12"/>
  <c r="AU19" i="12"/>
  <c r="AU18" i="12"/>
  <c r="AU17" i="12"/>
  <c r="AU16" i="12"/>
  <c r="AU15" i="12"/>
  <c r="AU14" i="12"/>
  <c r="AU13" i="12"/>
  <c r="AU12" i="12"/>
  <c r="AU11" i="12"/>
  <c r="AU10" i="12"/>
  <c r="BC10" i="12"/>
  <c r="BH10" i="12" s="1"/>
  <c r="AU9" i="12"/>
  <c r="G29" i="12" l="1"/>
  <c r="AA42" i="12"/>
  <c r="AB42" i="12" s="1"/>
  <c r="AA29" i="12"/>
  <c r="AB29" i="12" s="1"/>
  <c r="G16" i="12"/>
  <c r="G21" i="12"/>
  <c r="AA34" i="12"/>
  <c r="AB34" i="12" s="1"/>
  <c r="G26" i="12"/>
  <c r="AA39" i="12"/>
  <c r="AB39" i="12" s="1"/>
  <c r="G34" i="12"/>
  <c r="AA47" i="12"/>
  <c r="AB47" i="12" s="1"/>
  <c r="G23" i="12"/>
  <c r="AA36" i="12"/>
  <c r="AB36" i="12" s="1"/>
  <c r="AA54" i="12"/>
  <c r="AB54" i="12" s="1"/>
  <c r="G36" i="12"/>
  <c r="AA49" i="12"/>
  <c r="AB49" i="12" s="1"/>
  <c r="G35" i="12"/>
  <c r="AA48" i="12"/>
  <c r="AB48" i="12" s="1"/>
  <c r="G33" i="12"/>
  <c r="AA46" i="12"/>
  <c r="AB46" i="12" s="1"/>
  <c r="G24" i="12"/>
  <c r="AA37" i="12"/>
  <c r="AB37" i="12" s="1"/>
  <c r="AA40" i="12"/>
  <c r="AB40" i="12" s="1"/>
  <c r="G27" i="12"/>
  <c r="G22" i="12"/>
  <c r="AA35" i="12"/>
  <c r="AB35" i="12" s="1"/>
  <c r="G48" i="12"/>
  <c r="G32" i="12"/>
  <c r="AA45" i="12"/>
  <c r="AB45" i="12" s="1"/>
  <c r="G25" i="12"/>
  <c r="AA38" i="12"/>
  <c r="AB38" i="12" s="1"/>
  <c r="G47" i="12"/>
  <c r="AA60" i="12"/>
  <c r="AB60" i="12" s="1"/>
  <c r="G31" i="12"/>
  <c r="AA44" i="12"/>
  <c r="AB44" i="12" s="1"/>
  <c r="AA59" i="12"/>
  <c r="AB59" i="12" s="1"/>
  <c r="G46" i="12"/>
  <c r="G30" i="12"/>
  <c r="AA43" i="12"/>
  <c r="AB43" i="12" s="1"/>
  <c r="G44" i="12"/>
  <c r="AA57" i="12"/>
  <c r="AB57" i="12" s="1"/>
  <c r="AA56" i="12"/>
  <c r="AB56" i="12" s="1"/>
  <c r="G43" i="12"/>
  <c r="AA53" i="12"/>
  <c r="AB53" i="12" s="1"/>
  <c r="G17" i="12"/>
  <c r="AA30" i="12"/>
  <c r="AB30" i="12" s="1"/>
  <c r="AA52" i="12"/>
  <c r="AB52" i="12" s="1"/>
  <c r="G18" i="12"/>
  <c r="AA31" i="12"/>
  <c r="AB31" i="12" s="1"/>
  <c r="G38" i="12"/>
  <c r="AA51" i="12"/>
  <c r="AB51" i="12" s="1"/>
  <c r="G19" i="12"/>
  <c r="AA32" i="12"/>
  <c r="AB32" i="12" s="1"/>
  <c r="G45" i="12"/>
  <c r="AA58" i="12"/>
  <c r="AB58" i="12" s="1"/>
  <c r="G28" i="12"/>
  <c r="AA41" i="12"/>
  <c r="AB41" i="12" s="1"/>
  <c r="AA55" i="12"/>
  <c r="AB55" i="12" s="1"/>
  <c r="G37" i="12"/>
  <c r="AA50" i="12"/>
  <c r="AB50" i="12" s="1"/>
  <c r="G20" i="12"/>
  <c r="AA33" i="12"/>
  <c r="AB33" i="12" s="1"/>
  <c r="BF22" i="12"/>
  <c r="BG22" i="12"/>
  <c r="BF21" i="12"/>
  <c r="BG21" i="12"/>
  <c r="BF12" i="12"/>
  <c r="BG12" i="12"/>
  <c r="BF20" i="12"/>
  <c r="BG20" i="12"/>
  <c r="BG9" i="12"/>
  <c r="BF9" i="12"/>
  <c r="BF19" i="12"/>
  <c r="BG19" i="12"/>
  <c r="BF10" i="12"/>
  <c r="BG10" i="12"/>
  <c r="BF34" i="12"/>
  <c r="BG34" i="12"/>
  <c r="BF18" i="12"/>
  <c r="BG18" i="12"/>
  <c r="BF11" i="12"/>
  <c r="BG11" i="12"/>
  <c r="BG33" i="12"/>
  <c r="BF33" i="12"/>
  <c r="O11" i="12"/>
  <c r="Q11" i="12" s="1"/>
  <c r="BF17" i="12"/>
  <c r="BG17" i="12"/>
  <c r="BF32" i="12"/>
  <c r="BG32" i="12"/>
  <c r="O10" i="12"/>
  <c r="Q10" i="12" s="1"/>
  <c r="BF16" i="12"/>
  <c r="BG16" i="12"/>
  <c r="BF31" i="12"/>
  <c r="BG31" i="12"/>
  <c r="O9" i="12"/>
  <c r="Q9" i="12" s="1"/>
  <c r="BF15" i="12"/>
  <c r="BG15" i="12"/>
  <c r="BF30" i="12"/>
  <c r="BG30" i="12"/>
  <c r="O8" i="12"/>
  <c r="Q8" i="12" s="1"/>
  <c r="BF14" i="12"/>
  <c r="BG14" i="12"/>
  <c r="BF29" i="12"/>
  <c r="BG29" i="12"/>
  <c r="BF13" i="12"/>
  <c r="BG13" i="12"/>
  <c r="BF28" i="12"/>
  <c r="BG28" i="12"/>
  <c r="BF27" i="12"/>
  <c r="BG27" i="12"/>
  <c r="BF26" i="12"/>
  <c r="BG26" i="12"/>
  <c r="BG25" i="12"/>
  <c r="BF25" i="12"/>
  <c r="BF24" i="12"/>
  <c r="BG24" i="12"/>
  <c r="BF23" i="12"/>
  <c r="BG23" i="12"/>
  <c r="O12" i="12"/>
  <c r="Q12" i="12" s="1"/>
  <c r="AX20" i="12"/>
  <c r="AY20" i="12" s="1"/>
  <c r="BA20" i="12" s="1"/>
  <c r="AW14" i="12"/>
  <c r="AZ13" i="12"/>
  <c r="D50" i="12"/>
  <c r="F49" i="12"/>
  <c r="K34" i="12"/>
  <c r="P34" i="12" s="1"/>
  <c r="P35" i="12" s="1"/>
  <c r="P33" i="12"/>
  <c r="N33" i="12"/>
  <c r="K13" i="12"/>
  <c r="O13" i="12" s="1"/>
  <c r="Q13" i="12" s="1"/>
  <c r="P12" i="12"/>
  <c r="A50" i="12"/>
  <c r="AX16" i="12"/>
  <c r="AY16" i="12" s="1"/>
  <c r="BA16" i="12" s="1"/>
  <c r="AX42" i="12"/>
  <c r="AY42" i="12" s="1"/>
  <c r="BA42" i="12" s="1"/>
  <c r="AX40" i="12"/>
  <c r="AY40" i="12" s="1"/>
  <c r="BA40" i="12" s="1"/>
  <c r="BV34" i="12"/>
  <c r="CB33" i="12"/>
  <c r="AX18" i="12"/>
  <c r="AY18" i="12" s="1"/>
  <c r="BA18" i="12" s="1"/>
  <c r="AX14" i="12"/>
  <c r="AY14" i="12" s="1"/>
  <c r="BA14" i="12" s="1"/>
  <c r="BC11" i="12"/>
  <c r="AX12" i="12"/>
  <c r="AY12" i="12" s="1"/>
  <c r="BA12" i="12" s="1"/>
  <c r="AX13" i="12"/>
  <c r="AY13" i="12" s="1"/>
  <c r="BA13" i="12" s="1"/>
  <c r="BR4" i="12"/>
  <c r="BR5" i="12"/>
  <c r="AX15" i="12"/>
  <c r="AY15" i="12" s="1"/>
  <c r="BA15" i="12" s="1"/>
  <c r="BS82" i="12"/>
  <c r="BS83" i="12" s="1"/>
  <c r="BS84" i="12" s="1"/>
  <c r="AX39" i="12"/>
  <c r="AY39" i="12" s="1"/>
  <c r="BA39" i="12" s="1"/>
  <c r="AX35" i="12"/>
  <c r="AY35" i="12" s="1"/>
  <c r="BA35" i="12" s="1"/>
  <c r="AX31" i="12"/>
  <c r="AY31" i="12" s="1"/>
  <c r="BA31" i="12" s="1"/>
  <c r="AX28" i="12"/>
  <c r="AY28" i="12" s="1"/>
  <c r="BA28" i="12" s="1"/>
  <c r="AX30" i="12"/>
  <c r="AY30" i="12" s="1"/>
  <c r="BA30" i="12" s="1"/>
  <c r="AX9" i="12"/>
  <c r="AX25" i="12"/>
  <c r="AY25" i="12" s="1"/>
  <c r="BA25" i="12" s="1"/>
  <c r="AX43" i="12"/>
  <c r="AX22" i="12"/>
  <c r="AY22" i="12" s="1"/>
  <c r="BA22" i="12" s="1"/>
  <c r="AX27" i="12"/>
  <c r="AY27" i="12" s="1"/>
  <c r="BA27" i="12" s="1"/>
  <c r="AX34" i="12"/>
  <c r="AY34" i="12" s="1"/>
  <c r="BA34" i="12" s="1"/>
  <c r="AX21" i="12"/>
  <c r="AY21" i="12" s="1"/>
  <c r="BA21" i="12" s="1"/>
  <c r="AX41" i="12"/>
  <c r="AY41" i="12" s="1"/>
  <c r="BA41" i="12" s="1"/>
  <c r="AX10" i="12"/>
  <c r="AY10" i="12" s="1"/>
  <c r="BA10" i="12" s="1"/>
  <c r="AX23" i="12"/>
  <c r="AY23" i="12" s="1"/>
  <c r="BA23" i="12" s="1"/>
  <c r="AX29" i="12"/>
  <c r="AY29" i="12" s="1"/>
  <c r="BA29" i="12" s="1"/>
  <c r="AX17" i="12"/>
  <c r="AY17" i="12" s="1"/>
  <c r="BA17" i="12" s="1"/>
  <c r="AX32" i="12"/>
  <c r="AY32" i="12" s="1"/>
  <c r="BA32" i="12" s="1"/>
  <c r="AX37" i="12"/>
  <c r="AY37" i="12" s="1"/>
  <c r="BA37" i="12" s="1"/>
  <c r="AX11" i="12"/>
  <c r="AY11" i="12" s="1"/>
  <c r="BA11" i="12" s="1"/>
  <c r="AX38" i="12"/>
  <c r="AY38" i="12" s="1"/>
  <c r="BA38" i="12" s="1"/>
  <c r="AX33" i="12"/>
  <c r="AY33" i="12" s="1"/>
  <c r="BA33" i="12" s="1"/>
  <c r="AX19" i="12"/>
  <c r="AY19" i="12" s="1"/>
  <c r="BA19" i="12" s="1"/>
  <c r="AX24" i="12"/>
  <c r="AY24" i="12" s="1"/>
  <c r="BA24" i="12" s="1"/>
  <c r="AX36" i="12"/>
  <c r="AY36" i="12" s="1"/>
  <c r="BA36" i="12" s="1"/>
  <c r="AX26" i="12"/>
  <c r="AY26" i="12" s="1"/>
  <c r="BA26" i="12" s="1"/>
  <c r="G49" i="12" l="1"/>
  <c r="AA61" i="12"/>
  <c r="AB61" i="12" s="1"/>
  <c r="O29" i="12"/>
  <c r="Q29" i="12" s="1"/>
  <c r="BF35" i="12"/>
  <c r="BG35" i="12"/>
  <c r="BF6" i="12"/>
  <c r="BG6" i="12"/>
  <c r="AX6" i="12"/>
  <c r="AY43" i="12"/>
  <c r="BA43" i="12" s="1"/>
  <c r="BC12" i="12"/>
  <c r="BH11" i="12"/>
  <c r="AW15" i="12"/>
  <c r="AZ14" i="12"/>
  <c r="K14" i="12"/>
  <c r="O14" i="12" s="1"/>
  <c r="Q14" i="12" s="1"/>
  <c r="P13" i="12"/>
  <c r="N34" i="12"/>
  <c r="D51" i="12"/>
  <c r="F50" i="12"/>
  <c r="A51" i="12"/>
  <c r="E50" i="12"/>
  <c r="BV35" i="12"/>
  <c r="CB34" i="12"/>
  <c r="BS4" i="12"/>
  <c r="BT82" i="12"/>
  <c r="BT83" i="12"/>
  <c r="BS85" i="12"/>
  <c r="BT84" i="12"/>
  <c r="G50" i="12" l="1"/>
  <c r="AA62" i="12"/>
  <c r="AB62" i="12" s="1"/>
  <c r="BI36" i="12"/>
  <c r="BI8" i="12"/>
  <c r="BJ36" i="12"/>
  <c r="BJ8" i="12"/>
  <c r="O30" i="12"/>
  <c r="Q30" i="12" s="1"/>
  <c r="BC13" i="12"/>
  <c r="BH12" i="12"/>
  <c r="AW16" i="12"/>
  <c r="AZ15" i="12"/>
  <c r="K15" i="12"/>
  <c r="O15" i="12" s="1"/>
  <c r="Q15" i="12" s="1"/>
  <c r="P14" i="12"/>
  <c r="D52" i="12"/>
  <c r="F51" i="12"/>
  <c r="A52" i="12"/>
  <c r="E51" i="12"/>
  <c r="BV36" i="12"/>
  <c r="CB35" i="12"/>
  <c r="BS86" i="12"/>
  <c r="BT85" i="12"/>
  <c r="G51" i="12" l="1"/>
  <c r="AA63" i="12"/>
  <c r="AB63" i="12" s="1"/>
  <c r="O31" i="12"/>
  <c r="Q31" i="12" s="1"/>
  <c r="BC14" i="12"/>
  <c r="BH13" i="12"/>
  <c r="AW17" i="12"/>
  <c r="AZ16" i="12"/>
  <c r="D53" i="12"/>
  <c r="F53" i="12" s="1"/>
  <c r="F52" i="12"/>
  <c r="G52" i="12" s="1"/>
  <c r="K16" i="12"/>
  <c r="O16" i="12" s="1"/>
  <c r="Q16" i="12" s="1"/>
  <c r="P15" i="12"/>
  <c r="A53" i="12"/>
  <c r="E53" i="12" s="1"/>
  <c r="E54" i="12" s="1"/>
  <c r="E52" i="12"/>
  <c r="BV37" i="12"/>
  <c r="CB36" i="12"/>
  <c r="BS87" i="12"/>
  <c r="BT86" i="12"/>
  <c r="G53" i="12" l="1"/>
  <c r="AA64" i="12"/>
  <c r="AB64" i="12" s="1"/>
  <c r="B5" i="12"/>
  <c r="C5" i="12" s="1"/>
  <c r="B4" i="12"/>
  <c r="C4" i="12" s="1"/>
  <c r="O32" i="12"/>
  <c r="Q32" i="12" s="1"/>
  <c r="O33" i="12"/>
  <c r="Q33" i="12" s="1"/>
  <c r="BC15" i="12"/>
  <c r="BH14" i="12"/>
  <c r="AW18" i="12"/>
  <c r="AZ17" i="12"/>
  <c r="K17" i="12"/>
  <c r="P16" i="12"/>
  <c r="BV38" i="12"/>
  <c r="CB37" i="12"/>
  <c r="BS88" i="12"/>
  <c r="BT87" i="12"/>
  <c r="O17" i="12" l="1"/>
  <c r="Q17" i="12" s="1"/>
  <c r="C6" i="12"/>
  <c r="F54" i="12" s="1"/>
  <c r="BC16" i="12"/>
  <c r="BH15" i="12"/>
  <c r="AW19" i="12"/>
  <c r="AZ18" i="12"/>
  <c r="K18" i="12"/>
  <c r="O18" i="12" s="1"/>
  <c r="Q18" i="12" s="1"/>
  <c r="P17" i="12"/>
  <c r="BV39" i="12"/>
  <c r="CB38" i="12"/>
  <c r="BS89" i="12"/>
  <c r="BT88" i="12"/>
  <c r="O34" i="12" l="1"/>
  <c r="Q34" i="12" s="1"/>
  <c r="G54" i="12"/>
  <c r="F14" i="12"/>
  <c r="AY9" i="12" s="1"/>
  <c r="BC17" i="12"/>
  <c r="BH16" i="12"/>
  <c r="AW20" i="12"/>
  <c r="AZ19" i="12"/>
  <c r="K19" i="12"/>
  <c r="O19" i="12" s="1"/>
  <c r="Q19" i="12" s="1"/>
  <c r="P18" i="12"/>
  <c r="BV40" i="12"/>
  <c r="CB39" i="12"/>
  <c r="BS90" i="12"/>
  <c r="BT89" i="12"/>
  <c r="BA9" i="12" l="1"/>
  <c r="AY6" i="12"/>
  <c r="BC18" i="12"/>
  <c r="BH17" i="12"/>
  <c r="AW21" i="12"/>
  <c r="AZ20" i="12"/>
  <c r="K20" i="12"/>
  <c r="O20" i="12" s="1"/>
  <c r="Q20" i="12" s="1"/>
  <c r="P19" i="12"/>
  <c r="BV41" i="12"/>
  <c r="CB40" i="12"/>
  <c r="BS91" i="12"/>
  <c r="BT90" i="12"/>
  <c r="BA44" i="12" l="1"/>
  <c r="BA8" i="12"/>
  <c r="BC19" i="12"/>
  <c r="BH18" i="12"/>
  <c r="AW22" i="12"/>
  <c r="AZ21" i="12"/>
  <c r="K21" i="12"/>
  <c r="O21" i="12" s="1"/>
  <c r="Q21" i="12" s="1"/>
  <c r="P20" i="12"/>
  <c r="BV42" i="12"/>
  <c r="CB41" i="12"/>
  <c r="BS92" i="12"/>
  <c r="BT91" i="12"/>
  <c r="BC20" i="12" l="1"/>
  <c r="BH19" i="12"/>
  <c r="AW23" i="12"/>
  <c r="AZ22" i="12"/>
  <c r="K22" i="12"/>
  <c r="O22" i="12" s="1"/>
  <c r="Q22" i="12" s="1"/>
  <c r="P21" i="12"/>
  <c r="BV43" i="12"/>
  <c r="CB42" i="12"/>
  <c r="BS93" i="12"/>
  <c r="BT92" i="12"/>
  <c r="BC21" i="12" l="1"/>
  <c r="BH20" i="12"/>
  <c r="AW24" i="12"/>
  <c r="AZ23" i="12"/>
  <c r="K23" i="12"/>
  <c r="O23" i="12" s="1"/>
  <c r="Q23" i="12" s="1"/>
  <c r="P22" i="12"/>
  <c r="BV44" i="12"/>
  <c r="CB43" i="12"/>
  <c r="BS94" i="12"/>
  <c r="BT93" i="12"/>
  <c r="BC22" i="12" l="1"/>
  <c r="BH21" i="12"/>
  <c r="AW25" i="12"/>
  <c r="AZ24" i="12"/>
  <c r="K24" i="12"/>
  <c r="O24" i="12" s="1"/>
  <c r="Q24" i="12" s="1"/>
  <c r="P23" i="12"/>
  <c r="BV45" i="12"/>
  <c r="CB44" i="12"/>
  <c r="BS95" i="12"/>
  <c r="BT94" i="12"/>
  <c r="BC23" i="12" l="1"/>
  <c r="BH22" i="12"/>
  <c r="AW26" i="12"/>
  <c r="AZ25" i="12"/>
  <c r="K25" i="12"/>
  <c r="O25" i="12" s="1"/>
  <c r="Q25" i="12" s="1"/>
  <c r="P24" i="12"/>
  <c r="BV46" i="12"/>
  <c r="CB45" i="12"/>
  <c r="BS96" i="12"/>
  <c r="BT95" i="12"/>
  <c r="BC24" i="12" l="1"/>
  <c r="BH23" i="12"/>
  <c r="AW27" i="12"/>
  <c r="AZ26" i="12"/>
  <c r="K26" i="12"/>
  <c r="O26" i="12" s="1"/>
  <c r="Q26" i="12" s="1"/>
  <c r="P25" i="12"/>
  <c r="BV47" i="12"/>
  <c r="CB46" i="12"/>
  <c r="BS97" i="12"/>
  <c r="BT96" i="12"/>
  <c r="BC25" i="12" l="1"/>
  <c r="BH24" i="12"/>
  <c r="AW28" i="12"/>
  <c r="AZ27" i="12"/>
  <c r="K27" i="12"/>
  <c r="O27" i="12" s="1"/>
  <c r="Q27" i="12" s="1"/>
  <c r="P26" i="12"/>
  <c r="BV48" i="12"/>
  <c r="CB47" i="12"/>
  <c r="BS98" i="12"/>
  <c r="BT97" i="12"/>
  <c r="BC26" i="12" l="1"/>
  <c r="BH25" i="12"/>
  <c r="AW29" i="12"/>
  <c r="AZ28" i="12"/>
  <c r="K28" i="12"/>
  <c r="O28" i="12" s="1"/>
  <c r="Q28" i="12" s="1"/>
  <c r="P27" i="12"/>
  <c r="BV49" i="12"/>
  <c r="CB48" i="12"/>
  <c r="BS99" i="12"/>
  <c r="BT98" i="12"/>
  <c r="BC27" i="12" l="1"/>
  <c r="BH26" i="12"/>
  <c r="AW30" i="12"/>
  <c r="AZ29" i="12"/>
  <c r="P28" i="12"/>
  <c r="N4" i="12"/>
  <c r="O4" i="12" s="1"/>
  <c r="N5" i="12"/>
  <c r="O5" i="12" s="1"/>
  <c r="BV50" i="12"/>
  <c r="CB49" i="12"/>
  <c r="BS100" i="12"/>
  <c r="BT99" i="12"/>
  <c r="O6" i="12" l="1"/>
  <c r="Q7" i="12" s="1"/>
  <c r="BC28" i="12"/>
  <c r="BH27" i="12"/>
  <c r="AW31" i="12"/>
  <c r="AZ30" i="12"/>
  <c r="BV51" i="12"/>
  <c r="CB50" i="12"/>
  <c r="BS101" i="12"/>
  <c r="BT100" i="12"/>
  <c r="Q35" i="12" l="1"/>
  <c r="BC29" i="12"/>
  <c r="BH28" i="12"/>
  <c r="AW32" i="12"/>
  <c r="AZ31" i="12"/>
  <c r="BV52" i="12"/>
  <c r="CB51" i="12"/>
  <c r="BS102" i="12"/>
  <c r="BT101" i="12"/>
  <c r="BC30" i="12" l="1"/>
  <c r="BH29" i="12"/>
  <c r="AW33" i="12"/>
  <c r="AZ32" i="12"/>
  <c r="BV53" i="12"/>
  <c r="CB52" i="12"/>
  <c r="BS103" i="12"/>
  <c r="BT102" i="12"/>
  <c r="BC31" i="12" l="1"/>
  <c r="BH30" i="12"/>
  <c r="AW34" i="12"/>
  <c r="AZ33" i="12"/>
  <c r="BV54" i="12"/>
  <c r="CB53" i="12"/>
  <c r="BS104" i="12"/>
  <c r="BT103" i="12"/>
  <c r="BC32" i="12" l="1"/>
  <c r="BH31" i="12"/>
  <c r="AW35" i="12"/>
  <c r="AZ34" i="12"/>
  <c r="BV55" i="12"/>
  <c r="CB54" i="12"/>
  <c r="BS105" i="12"/>
  <c r="BT104" i="12"/>
  <c r="BC33" i="12" l="1"/>
  <c r="BH32" i="12"/>
  <c r="AW36" i="12"/>
  <c r="AZ35" i="12"/>
  <c r="BV56" i="12"/>
  <c r="CB55" i="12"/>
  <c r="BS106" i="12"/>
  <c r="BT105" i="12"/>
  <c r="BC34" i="12" l="1"/>
  <c r="BH33" i="12"/>
  <c r="AW37" i="12"/>
  <c r="AZ36" i="12"/>
  <c r="BV57" i="12"/>
  <c r="CB56" i="12"/>
  <c r="BS107" i="12"/>
  <c r="BT106" i="12"/>
  <c r="BC35" i="12" l="1"/>
  <c r="BH34" i="12"/>
  <c r="AW38" i="12"/>
  <c r="AZ37" i="12"/>
  <c r="BV58" i="12"/>
  <c r="CB57" i="12"/>
  <c r="BS108" i="12"/>
  <c r="BT107" i="12"/>
  <c r="BH35" i="12" l="1"/>
  <c r="BH36" i="12" s="1"/>
  <c r="AW39" i="12"/>
  <c r="AZ38" i="12"/>
  <c r="BV59" i="12"/>
  <c r="CB58" i="12"/>
  <c r="BS109" i="12"/>
  <c r="BT108" i="12"/>
  <c r="AW40" i="12" l="1"/>
  <c r="AZ39" i="12"/>
  <c r="BV60" i="12"/>
  <c r="CB59" i="12"/>
  <c r="BS110" i="12"/>
  <c r="BT109" i="12"/>
  <c r="AW41" i="12" l="1"/>
  <c r="AZ40" i="12"/>
  <c r="BV61" i="12"/>
  <c r="CB60" i="12"/>
  <c r="BS111" i="12"/>
  <c r="BT110" i="12"/>
  <c r="AW42" i="12" l="1"/>
  <c r="AZ41" i="12"/>
  <c r="BV62" i="12"/>
  <c r="CB61" i="12"/>
  <c r="BS112" i="12"/>
  <c r="BT111" i="12"/>
  <c r="AW43" i="12" l="1"/>
  <c r="AZ42" i="12"/>
  <c r="BV63" i="12"/>
  <c r="CB62" i="12"/>
  <c r="BS113" i="12"/>
  <c r="BT112" i="12"/>
  <c r="AZ43" i="12" l="1"/>
  <c r="AZ44" i="12" s="1"/>
  <c r="BV64" i="12"/>
  <c r="CB63" i="12"/>
  <c r="BS114" i="12"/>
  <c r="BT113" i="12"/>
  <c r="BV65" i="12" l="1"/>
  <c r="CB64" i="12"/>
  <c r="BS115" i="12"/>
  <c r="BT114" i="12"/>
  <c r="BV66" i="12" l="1"/>
  <c r="CB65" i="12"/>
  <c r="BS116" i="12"/>
  <c r="BT115" i="12"/>
  <c r="BV67" i="12" l="1"/>
  <c r="CB66" i="12"/>
  <c r="BS117" i="12"/>
  <c r="BT116" i="12"/>
  <c r="BV68" i="12" l="1"/>
  <c r="CB67" i="12"/>
  <c r="BS118" i="12"/>
  <c r="BT117" i="12"/>
  <c r="BV69" i="12" l="1"/>
  <c r="CB68" i="12"/>
  <c r="BS119" i="12"/>
  <c r="BT118" i="12"/>
  <c r="BV70" i="12" l="1"/>
  <c r="CB69" i="12"/>
  <c r="BS120" i="12"/>
  <c r="BT120" i="12" s="1"/>
  <c r="BS5" i="12" s="1"/>
  <c r="BT4" i="12" s="1"/>
  <c r="BT119" i="12"/>
  <c r="BV71" i="12" l="1"/>
  <c r="CB70" i="12"/>
  <c r="BY48" i="12"/>
  <c r="BY47" i="12" s="1"/>
  <c r="BY46" i="12" s="1"/>
  <c r="BY45" i="12" s="1"/>
  <c r="BY44" i="12" s="1"/>
  <c r="BY43" i="12" s="1"/>
  <c r="BY42" i="12" s="1"/>
  <c r="BY41" i="12" s="1"/>
  <c r="BY40" i="12" s="1"/>
  <c r="BY39" i="12" s="1"/>
  <c r="BY38" i="12" s="1"/>
  <c r="BY37" i="12" s="1"/>
  <c r="BY36" i="12" s="1"/>
  <c r="BY35" i="12" s="1"/>
  <c r="BY34" i="12" s="1"/>
  <c r="BY33" i="12" s="1"/>
  <c r="BY32" i="12" s="1"/>
  <c r="BY31" i="12" s="1"/>
  <c r="BY30" i="12" s="1"/>
  <c r="BY29" i="12" s="1"/>
  <c r="BY28" i="12" s="1"/>
  <c r="BY27" i="12" s="1"/>
  <c r="BY26" i="12" s="1"/>
  <c r="BY25" i="12" s="1"/>
  <c r="BY24" i="12" s="1"/>
  <c r="BY23" i="12" s="1"/>
  <c r="BY22" i="12" s="1"/>
  <c r="BY21" i="12" s="1"/>
  <c r="BY20" i="12" s="1"/>
  <c r="BY19" i="12" s="1"/>
  <c r="BY18" i="12" s="1"/>
  <c r="BY17" i="12" s="1"/>
  <c r="BY16" i="12" s="1"/>
  <c r="BY15" i="12" s="1"/>
  <c r="BY14" i="12" s="1"/>
  <c r="BY13" i="12" s="1"/>
  <c r="BY12" i="12" s="1"/>
  <c r="BY11" i="12" s="1"/>
  <c r="BY10" i="12" s="1"/>
  <c r="BY9" i="12" s="1"/>
  <c r="BY8" i="12" s="1"/>
  <c r="BY49" i="12"/>
  <c r="BY50" i="12"/>
  <c r="BY51" i="12"/>
  <c r="BY52" i="12"/>
  <c r="BY53" i="12"/>
  <c r="BY54" i="12"/>
  <c r="BY55" i="12"/>
  <c r="BY56" i="12"/>
  <c r="BY57" i="12"/>
  <c r="BY58" i="12"/>
  <c r="BY59" i="12"/>
  <c r="BY60" i="12"/>
  <c r="BY61" i="12"/>
  <c r="BY62" i="12"/>
  <c r="BY63" i="12"/>
  <c r="BY64" i="12"/>
  <c r="BY65" i="12"/>
  <c r="BY66" i="12"/>
  <c r="BY67" i="12"/>
  <c r="BY68" i="12"/>
  <c r="BY69" i="12"/>
  <c r="BY70" i="12"/>
  <c r="BY71" i="12"/>
  <c r="BV72" i="12" l="1"/>
  <c r="CB71" i="12"/>
  <c r="BV73" i="12" l="1"/>
  <c r="CB72" i="12"/>
  <c r="BY72" i="12"/>
  <c r="CB73" i="12" l="1"/>
  <c r="BV74" i="12"/>
  <c r="BY73" i="12"/>
  <c r="BV75" i="12" l="1"/>
  <c r="CB74" i="12"/>
  <c r="BY74" i="12"/>
  <c r="BV76" i="12" l="1"/>
  <c r="CB75" i="12"/>
  <c r="BY75" i="12"/>
  <c r="BZ29" i="12" l="1"/>
  <c r="BZ45" i="12"/>
  <c r="BZ61" i="12"/>
  <c r="BZ30" i="12"/>
  <c r="BZ46" i="12"/>
  <c r="BZ62" i="12"/>
  <c r="BZ31" i="12"/>
  <c r="BZ47" i="12"/>
  <c r="BZ63" i="12"/>
  <c r="BZ32" i="12"/>
  <c r="BZ48" i="12"/>
  <c r="BZ64" i="12"/>
  <c r="BZ33" i="12"/>
  <c r="BZ49" i="12"/>
  <c r="BZ65" i="12"/>
  <c r="BZ34" i="12"/>
  <c r="BZ50" i="12"/>
  <c r="BZ28" i="12"/>
  <c r="BZ36" i="12"/>
  <c r="BZ52" i="12"/>
  <c r="BZ68" i="12"/>
  <c r="BZ37" i="12"/>
  <c r="BZ53" i="12"/>
  <c r="BZ69" i="12"/>
  <c r="BZ38" i="12"/>
  <c r="BZ54" i="12"/>
  <c r="BZ70" i="12"/>
  <c r="BZ74" i="12"/>
  <c r="BO12" i="12" s="1"/>
  <c r="BZ75" i="12"/>
  <c r="BO13" i="12" s="1"/>
  <c r="BZ44" i="12"/>
  <c r="BZ67" i="12"/>
  <c r="BZ39" i="12"/>
  <c r="BZ55" i="12"/>
  <c r="BZ71" i="12"/>
  <c r="BO9" i="12" s="1"/>
  <c r="BZ56" i="12"/>
  <c r="BZ72" i="12"/>
  <c r="BO10" i="12" s="1"/>
  <c r="BZ58" i="12"/>
  <c r="BZ59" i="12"/>
  <c r="BZ51" i="12"/>
  <c r="BZ40" i="12"/>
  <c r="BZ60" i="12"/>
  <c r="BZ41" i="12"/>
  <c r="BZ57" i="12"/>
  <c r="BZ73" i="12"/>
  <c r="BO11" i="12" s="1"/>
  <c r="BZ66" i="12"/>
  <c r="BZ42" i="12"/>
  <c r="BZ35" i="12"/>
  <c r="BZ43" i="12"/>
  <c r="BV77" i="12"/>
  <c r="CB76" i="12"/>
  <c r="BY76" i="12"/>
  <c r="BZ76" i="12" s="1"/>
  <c r="BO14" i="12" s="1"/>
  <c r="BV78" i="12" l="1"/>
  <c r="CB77" i="12"/>
  <c r="BY77" i="12"/>
  <c r="BZ77" i="12" s="1"/>
  <c r="BO15" i="12" s="1"/>
  <c r="BV79" i="12" l="1"/>
  <c r="CB78" i="12"/>
  <c r="BY78" i="12"/>
  <c r="BZ78" i="12" s="1"/>
  <c r="BO16" i="12" s="1"/>
  <c r="BV80" i="12" l="1"/>
  <c r="CB79" i="12"/>
  <c r="BY79" i="12"/>
  <c r="BZ79" i="12" s="1"/>
  <c r="BO17" i="12" s="1"/>
  <c r="BV81" i="12" l="1"/>
  <c r="CB80" i="12"/>
  <c r="BY80" i="12"/>
  <c r="BZ80" i="12" s="1"/>
  <c r="BO18" i="12" s="1"/>
  <c r="CB81" i="12" l="1"/>
  <c r="BY81" i="12"/>
  <c r="BZ81" i="12" s="1"/>
  <c r="BO19" i="12" s="1"/>
  <c r="BM4" i="12" l="1"/>
  <c r="BO8" i="12" s="1"/>
  <c r="BO20" i="12" l="1"/>
</calcChain>
</file>

<file path=xl/sharedStrings.xml><?xml version="1.0" encoding="utf-8"?>
<sst xmlns="http://schemas.openxmlformats.org/spreadsheetml/2006/main" count="185" uniqueCount="92">
  <si>
    <t>Year</t>
  </si>
  <si>
    <t>Value</t>
  </si>
  <si>
    <t>Title</t>
  </si>
  <si>
    <t>CDID</t>
  </si>
  <si>
    <t>INFLATION</t>
  </si>
  <si>
    <t>EARNINGS</t>
  </si>
  <si>
    <t>RETURNS TO EQUITY</t>
  </si>
  <si>
    <t>HOUSING RETURNS</t>
  </si>
  <si>
    <t>COST OF DEBT</t>
  </si>
  <si>
    <t>ONS consumer price inflation tables; Table 20a (D7BT), annual average all items, https://www.ons.gov.uk/economy/inflationandpriceindices/datasets/consumerpriceinflation - FROM UKMOD</t>
  </si>
  <si>
    <t>OBR March 2022 Economic and fiscal outlook – supplementary economy tables (Economy_Supplementary_Tables_March_2022.xlsx), Table 1.7, CPI (2015=100) 2008/09 to 2026/27. Table numbers are subject to change - see the pdf report for further details. - FROM UKMOD</t>
  </si>
  <si>
    <t>ONS EARN01: Average weekly earnings, Table 4: AWE Total Pay Index, Whole Economy (K54U) - FROM UKMOD</t>
  </si>
  <si>
    <t>Table 26 Housing market: simple average house prices, by dwelling type and region, United Kingdom, from 1986 1, 2, 3, 4 (DCLG table 511), K02000001</t>
  </si>
  <si>
    <t>Monthly interest rate of UK monetary financial institutions (excl. Central Bank) sterling personal loan, £10K to households (in percent) not seasonally adjusted              [a] [b] [c] [d]             IUMHPTL</t>
  </si>
  <si>
    <t>Monthly interest rate of UK monetary financial institutions (excl. Central Bank) sterling representative credit card lending to households (in percent) not seasonally adjusted              [a] [b] [c]             IUMCCTL</t>
  </si>
  <si>
    <t xml:space="preserve"> D7BT</t>
  </si>
  <si>
    <t>COMBINED</t>
  </si>
  <si>
    <t>FT 30 Index</t>
  </si>
  <si>
    <t>FT 30 Div %</t>
  </si>
  <si>
    <t>FTSE 100 Index</t>
  </si>
  <si>
    <t>watsonwyatt div yields</t>
  </si>
  <si>
    <t>https://www.investing.com/indices/ftse-100-total-return-historical-data</t>
  </si>
  <si>
    <t xml:space="preserve">https://www.gov.uk/government/collections/uk-house-price-index-reports </t>
  </si>
  <si>
    <t>Bank of England website</t>
  </si>
  <si>
    <t>ONS variable YBEZ</t>
  </si>
  <si>
    <t>Purpose:</t>
  </si>
  <si>
    <t>Developers:</t>
  </si>
  <si>
    <t>First version:</t>
  </si>
  <si>
    <t>Last version:</t>
  </si>
  <si>
    <t>Justin van de Ven (JV)</t>
  </si>
  <si>
    <t>30/05/2023 (JV)</t>
  </si>
  <si>
    <t>extrapolation</t>
  </si>
  <si>
    <t>combined</t>
  </si>
  <si>
    <t>min year</t>
  </si>
  <si>
    <t>max year</t>
  </si>
  <si>
    <t>This file contains index values by year and country used to uprate the monetary values in the donor population to each simulated year.  Note that values at extremes of each series reflect geometric extrapolation using averages over the sample period.</t>
  </si>
  <si>
    <t>OBR March 2023 Economic and fiscal outlook, supplementary economy tables, Table 1.6</t>
  </si>
  <si>
    <t>RETURNS TO SAVING</t>
  </si>
  <si>
    <t>AVERAGE</t>
  </si>
  <si>
    <t>\ ///</t>
  </si>
  <si>
    <t>INFLATION 2</t>
  </si>
  <si>
    <t>Final consumption expenditure deflator: SA</t>
  </si>
  <si>
    <t>YBGA</t>
  </si>
  <si>
    <t>NOTE:</t>
  </si>
  <si>
    <t>All forumlae should be removed from any sheet accessed by the model.</t>
  </si>
  <si>
    <t>HOURLY WAGE OF CARE WORKERS</t>
  </si>
  <si>
    <t>Source: ONS dataset "Earnings and hours worked, care workers", Table 26.5a, mean all</t>
  </si>
  <si>
    <t>https://www.ons.gov.uk/employmentandlabourmarket/peopleinwork/earningsandworkinghours/datasets/careworkerssocashetable26</t>
  </si>
  <si>
    <t>APPLIED</t>
  </si>
  <si>
    <t>growth rate</t>
  </si>
  <si>
    <t>REAL</t>
  </si>
  <si>
    <t>implied growth rate</t>
  </si>
  <si>
    <t>NOMINAL</t>
  </si>
  <si>
    <t>GDP CVMs (real)</t>
  </si>
  <si>
    <t>UK_CPI_pct</t>
  </si>
  <si>
    <t xml:space="preserve"> UK CPI annual inflation rate (%)</t>
  </si>
  <si>
    <t>Bank of England, "A Millennium of Macroeconomic Data for the UK", Version 3.1. Sheet A47, Column 5: UK CPI annual inflation rate. Based on ONS Consumer Prices Index (CPI); spliced series, 2015 = 100. Pre-1989 data uses earlier ONS composite price index measures.</t>
  </si>
  <si>
    <t>US_CPI_pct</t>
  </si>
  <si>
    <t>US CPI annual inflation rate (%)</t>
  </si>
  <si>
    <t>(1980–2016) Bank of England, "A Millennium of Macroeconomic Data for the UK", Version 3.1. Sheet A47, Column 23: US CPI index level (1982–84 = 100). Annual inflation computed as year-on-year % change in index level. Original source: Williamson (2017a). (2017–2025) U.S. Bureau of Labor Statistics (BLS), Consumer Price Index for All Urban Consumers (CPI-U), annual average. https://www.bls.gov/cpi/</t>
  </si>
  <si>
    <t>UK_Equities_Nom_TR_pct</t>
  </si>
  <si>
    <t>Nominal total return to UK equities (%, GBP)</t>
  </si>
  <si>
    <t>UK_Equities_Real_TR_pct</t>
  </si>
  <si>
    <t>Real total return to UK equities (%, GBP)</t>
  </si>
  <si>
    <t>Global_Equities_Real_TR_USD_pct</t>
  </si>
  <si>
    <t>Real total return to global equities (%, USD)</t>
  </si>
  <si>
    <t>Global_Equities_Nom_TR_USD_pct</t>
  </si>
  <si>
    <t>Nominal total return to global equities (%, USD)</t>
  </si>
  <si>
    <t>GLOBAL EQUITIES (1980–2025)
   Source: MSCI World Gross Total Return Index (USD denomination).
           Annual nominal returns from MSCI Inc. / Wikipedia, "MSCI World",
           citing MSCI official data.
           URL: https://en.wikipedia.org/wiki/MSCI_World
   Note:   Gross total return (before withholding tax on dividends).
           Returns are in USD; real returns are deflated by US CPI.
           For sterling-denominated investors, actual returns differ due to
           GBP/USD exchange rate movements (not reflected in these figures).</t>
  </si>
  <si>
    <t>UK EQUITIES — CAPITAL RETURN (1980–2016)
   Source: Bank of England, "A Millennium of Macroeconomic Data for the UK",
           Version 3.1 (updated December 2025).
           Sheet A31, Column 23: FTSE All-Share price index (April 1962 = 100).
           Downloaded from: https://www.bankofengland.co.uk/statistics/research-datasets
   Citation: Thomas, R. and Dimsdale, N. (2017). "A Millennium of Macroeconomic Data
             for the UK." Bank of England OBRA dataset, version 3.1.
UK EQUITIES — DIVIDEND YIELD (1980–1999)
   Source: Barclays Capital, "Equity Gilt Study 2016" (historical series).
           Annual average FTSE All-Share dividend yield.
   Note:   These values are taken from the published Barclays EGS historical
           appendix and are consistent with data reported in Dimson, Marsh &amp;
           Staunton (2002), "Triumph of the Optimists", Princeton University Press.
UK EQUITIES — DIVIDEND YIELD (2000–2016)
   Source: dividenddata.co.uk, "FTSE 100 Yield History" (annual average).
           URL: https://www.dividenddata.co.uk/ftse-index-yield.py
   Note:   FTSE 100 dividend yield is used as a close proxy for the FTSE
           All-Share dividend yield (the two series are nearly identical).
UK EQUITIES — TOTAL RETURN (2017–2025)
   Source: Barclays Research, "Equity Gilt Study 2025" (70th edition, May 2025).
           Underlying index: FTSE All-Share Total Return Index (FTSE Russell).
   Note:   2025 estimate based on FTSE Russell FTSE All-Share Total Return data
           and Barclays EGS 2026 preliminary data.</t>
  </si>
  <si>
    <t>GOVERNMENT DEBT</t>
  </si>
  <si>
    <t>UK_Gilts_Nom_TR_pct</t>
  </si>
  <si>
    <t>UK_Gilts_Real_TR_pct</t>
  </si>
  <si>
    <t>Nominal total return to UK government bonds (%, GBP)</t>
  </si>
  <si>
    <t>Real total return to UK government bonds (%, GBP)</t>
  </si>
  <si>
    <t>UK GOVERNMENT BONDS (GILTS) — YIELDS (1980–2016)
   Source: Bank of England, "A Millennium of Macroeconomic Data for the UK",
           Version 3.1. Sheet A31, Column 19: annual average 10-year (medium-term)
           gilt redemption yield. Sourced from BoE monthly long-term rates sheet (M10).
UK GOVERNMENT BONDS (GILTS) — TOTAL RETURN (2017–2025)
   Source: Barclays Research, "Equity Gilt Study 2025".
           Underlying index: FTSE Actuaries UK Gilts All Stocks Total Return Index.
   Note:   2025 estimate based on DMO/FTSE gilt index data.</t>
  </si>
  <si>
    <t>CORPORATE DEBT</t>
  </si>
  <si>
    <t>UK_Corp_Bonds_Nom_TR_pct</t>
  </si>
  <si>
    <t>Nominal total return to UK corporate bonds (%, GBP)</t>
  </si>
  <si>
    <t>Real total return to UK corporate bonds (%, GBP)</t>
  </si>
  <si>
    <t>UK_Corp_Bonds_Real_TR_pct</t>
  </si>
  <si>
    <t>UK CORPORATE BONDS — YIELDS (1980–2016)
   Source: Bank of England, "A Millennium of Macroeconomic Data for the UK",
           Version 3.1. Sheet A31, Column 21: annual average yield on
           sterling corporate bonds.
           - 1980–1986: Institute of Actuaries Industrial Debenture yield series
             (spliced; reduced coverage and reliability vs. later data).
           - 1987–2016: Bank of America Merrill Lynch Sterling Corporate Bond
             yield index (Sterling industrials rated AAA–BBB), sourced from BoE M11.
UK CORPORATE BONDS — TOTAL RETURN (2017–2025)
   Source: Bloomberg/iBoxx £ Non-Gilts Investment Grade Corporate Bond Total
           Return Index. Reported in Barclays Research, "Equity Gilt Study 2025".
   Note:   2025 estimate based on available index data.</t>
  </si>
  <si>
    <t>PENSION WEALTH</t>
  </si>
  <si>
    <t>Rates of return to housing wealth</t>
  </si>
  <si>
    <t>Interest on mortgage debt</t>
  </si>
  <si>
    <t>Low-cost debt interest rate</t>
  </si>
  <si>
    <t>High-cost debt interest rate</t>
  </si>
  <si>
    <t>Rates of return to housing wealth are modelled using house price growth rates, which are calculated using the UKHPI all-property-types nominal average prices</t>
  </si>
  <si>
    <t>Interest on mortgage debt is modelling with mortgage rates, i.e. the ONS Average Effective Rate for mortgage interest payments</t>
  </si>
  <si>
    <t>Low-cost debt interest rates are represented by Bank of England’s personal loan 10K series IUMHPTL</t>
  </si>
  <si>
    <t>high-cost debt interest rates are represented by Bank of England’s representative credit card lending series IUMCCTL</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</si>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</sst>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
  </numFmts>
  <fonts count="20" x14ac:knownFonts="1">
    <font>
      <sz val="11"/>
      <color theme="1"/>
      <name val="Calibri"/>
      <family val="2"/>
      <scheme val="minor"/>
    </font>
    <font>
      <sz val="1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5">
    <fill>
      <patternFill patternType="none"/>
    </fill>
    <fill>
      <patternFill patternType="gray125"/>
    </fill>
    <fill>
      <patternFill patternType="solid">
        <fgColor theme="8" tint="0.59999389629810485"/>
        <bgColor indexed="64"/>
      </patternFill>
    </fill>
    <fill>
      <patternFill patternType="solid">
        <fgColor theme="4"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4" borderId="0" applyNumberFormat="0" applyBorder="0" applyAlignment="0" applyProtection="0"/>
    <xf numFmtId="0" fontId="8" fillId="5" borderId="0" applyNumberFormat="0" applyBorder="0" applyAlignment="0" applyProtection="0"/>
    <xf numFmtId="0" fontId="9" fillId="6" borderId="0" applyNumberFormat="0" applyBorder="0" applyAlignment="0" applyProtection="0"/>
    <xf numFmtId="0" fontId="10" fillId="7" borderId="4" applyNumberFormat="0" applyAlignment="0" applyProtection="0"/>
    <xf numFmtId="0" fontId="11" fillId="8" borderId="5" applyNumberFormat="0" applyAlignment="0" applyProtection="0"/>
    <xf numFmtId="0" fontId="12" fillId="8" borderId="4" applyNumberFormat="0" applyAlignment="0" applyProtection="0"/>
    <xf numFmtId="0" fontId="13" fillId="0" borderId="6" applyNumberFormat="0" applyFill="0" applyAlignment="0" applyProtection="0"/>
    <xf numFmtId="0" fontId="14" fillId="9" borderId="7" applyNumberFormat="0" applyAlignment="0" applyProtection="0"/>
    <xf numFmtId="0" fontId="15" fillId="0" borderId="0" applyNumberFormat="0" applyFill="0" applyBorder="0" applyAlignment="0" applyProtection="0"/>
    <xf numFmtId="0" fontId="2" fillId="10"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18"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18"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18"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18"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18"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19" fillId="0" borderId="0" applyNumberFormat="0" applyFill="0" applyBorder="0" applyAlignment="0" applyProtection="0"/>
  </cellStyleXfs>
  <cellXfs count="20">
    <xf numFmtId="0" fontId="0" fillId="0" borderId="0" xfId="0"/>
    <xf numFmtId="164" fontId="0" fillId="0" borderId="0" xfId="0" applyNumberFormat="1"/>
    <xf numFmtId="0" fontId="1" fillId="0" borderId="0" xfId="0" applyFont="1"/>
    <xf numFmtId="165" fontId="0" fillId="0" borderId="0" xfId="0" applyNumberFormat="1"/>
    <xf numFmtId="0" fontId="0" fillId="2" borderId="0" xfId="0" applyFill="1"/>
    <xf numFmtId="164" fontId="0" fillId="0" borderId="0" xfId="0" applyNumberFormat="1" applyAlignment="1">
      <alignment horizontal="right"/>
    </xf>
    <xf numFmtId="17" fontId="0" fillId="0" borderId="0" xfId="0" applyNumberFormat="1"/>
    <xf numFmtId="2" fontId="0" fillId="0" borderId="0" xfId="0" applyNumberFormat="1"/>
    <xf numFmtId="0" fontId="0" fillId="0" borderId="0" xfId="0" applyAlignment="1">
      <alignment horizontal="right"/>
    </xf>
    <xf numFmtId="0" fontId="0" fillId="0" borderId="0" xfId="0" applyAlignment="1">
      <alignment horizontal="right" vertical="center"/>
    </xf>
    <xf numFmtId="0" fontId="0" fillId="3" borderId="0" xfId="0" applyFill="1"/>
    <xf numFmtId="164" fontId="0" fillId="3" borderId="0" xfId="0" applyNumberFormat="1" applyFill="1"/>
    <xf numFmtId="2" fontId="0" fillId="3" borderId="0" xfId="0" applyNumberFormat="1" applyFill="1"/>
    <xf numFmtId="0" fontId="19" fillId="0" borderId="0" xfId="42"/>
    <xf numFmtId="0" fontId="0" fillId="0" borderId="0" xfId="0" applyNumberFormat="1"/>
    <xf numFmtId="0" fontId="0" fillId="3" borderId="0" xfId="0" applyNumberFormat="1" applyFill="1"/>
    <xf numFmtId="0" fontId="0" fillId="0" borderId="0" xfId="0" applyNumberFormat="1" applyAlignment="1">
      <alignment wrapText="1"/>
    </xf>
    <xf numFmtId="166" fontId="0" fillId="0" borderId="0" xfId="0" applyNumberFormat="1"/>
    <xf numFmtId="0" fontId="0" fillId="0" borderId="0" xfId="0" applyFill="1"/>
    <xf numFmtId="165" fontId="0" fillId="0" borderId="0" xfId="0" applyNumberForma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hyperlink" Target="https://www.investing.com/indices/ftse-100-total-return-historical-da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workbookViewId="0"/>
  </sheetViews>
  <sheetFormatPr defaultColWidth="8.81640625" defaultRowHeight="14.5" x14ac:dyDescent="0.35"/>
  <cols>
    <col min="1" max="1" width="12.453125" customWidth="1"/>
    <col min="2" max="2" width="10.6328125" bestFit="1" customWidth="1"/>
  </cols>
  <sheetData>
    <row r="1" spans="1:2" x14ac:dyDescent="0.35">
      <c r="A1" t="s">
        <v>25</v>
      </c>
      <c r="B1" t="s">
        <v>35</v>
      </c>
    </row>
    <row r="2" spans="1:2" x14ac:dyDescent="0.35">
      <c r="A2" t="s">
        <v>26</v>
      </c>
      <c r="B2" t="s">
        <v>29</v>
      </c>
    </row>
    <row r="3" spans="1:2" x14ac:dyDescent="0.35">
      <c r="A3" t="s">
        <v>27</v>
      </c>
      <c r="B3" t="s">
        <v>30</v>
      </c>
    </row>
    <row r="4" spans="1:2" x14ac:dyDescent="0.35">
      <c r="A4" t="s">
        <v>28</v>
      </c>
      <c r="B4" t="s">
        <v>30</v>
      </c>
    </row>
    <row r="6" spans="1:2" x14ac:dyDescent="0.35">
      <c r="A6" t="s">
        <v>43</v>
      </c>
      <c r="B6" t="s">
        <v>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8A556-88DB-4602-9465-944BD364475C}">
  <dimension ref="A1:B116"/>
  <sheetViews>
    <sheetView tabSelected="1" workbookViewId="0">
      <selection activeCell="O15" sqref="O15"/>
    </sheetView>
  </sheetViews>
  <sheetFormatPr defaultColWidth="8.81640625" defaultRowHeight="14.5" x14ac:dyDescent="0.35"/>
  <sheetData>
    <row r="1" spans="1:2" x14ac:dyDescent="0.35">
      <c r="A1" t="s">
        <v>0</v>
      </c>
      <c r="B1" t="s">
        <v>1</v>
      </c>
    </row>
    <row r="2" spans="1:2" x14ac:dyDescent="0.35">
      <c r="A2">
        <v>1947</v>
      </c>
      <c r="B2" s="1">
        <v>16.598309271060831</v>
      </c>
    </row>
    <row r="3" spans="1:2" x14ac:dyDescent="0.35">
      <c r="A3" s="2">
        <v>1948</v>
      </c>
      <c r="B3">
        <v>17</v>
      </c>
    </row>
    <row r="4" spans="1:2" x14ac:dyDescent="0.35">
      <c r="A4" s="2">
        <v>1949</v>
      </c>
      <c r="B4">
        <v>17.600000000000001</v>
      </c>
    </row>
    <row r="5" spans="1:2" x14ac:dyDescent="0.35">
      <c r="A5" s="2">
        <v>1950</v>
      </c>
      <c r="B5">
        <v>18.2</v>
      </c>
    </row>
    <row r="6" spans="1:2" x14ac:dyDescent="0.35">
      <c r="A6" s="2">
        <v>1951</v>
      </c>
      <c r="B6">
        <v>18.899999999999999</v>
      </c>
    </row>
    <row r="7" spans="1:2" x14ac:dyDescent="0.35">
      <c r="A7" s="2">
        <v>1952</v>
      </c>
      <c r="B7">
        <v>19.100000000000001</v>
      </c>
    </row>
    <row r="8" spans="1:2" x14ac:dyDescent="0.35">
      <c r="A8" s="2">
        <v>1953</v>
      </c>
      <c r="B8">
        <v>20.2</v>
      </c>
    </row>
    <row r="9" spans="1:2" x14ac:dyDescent="0.35">
      <c r="A9" s="2">
        <v>1954</v>
      </c>
      <c r="B9">
        <v>21.1</v>
      </c>
    </row>
    <row r="10" spans="1:2" x14ac:dyDescent="0.35">
      <c r="A10" s="2">
        <v>1955</v>
      </c>
      <c r="B10">
        <v>21.9</v>
      </c>
    </row>
    <row r="11" spans="1:2" x14ac:dyDescent="0.35">
      <c r="A11" s="2">
        <v>1956</v>
      </c>
      <c r="B11">
        <v>22.3</v>
      </c>
    </row>
    <row r="12" spans="1:2" x14ac:dyDescent="0.35">
      <c r="A12" s="2">
        <v>1957</v>
      </c>
      <c r="B12">
        <v>22.7</v>
      </c>
    </row>
    <row r="13" spans="1:2" x14ac:dyDescent="0.35">
      <c r="A13" s="2">
        <v>1958</v>
      </c>
      <c r="B13">
        <v>23</v>
      </c>
    </row>
    <row r="14" spans="1:2" x14ac:dyDescent="0.35">
      <c r="A14" s="2">
        <v>1959</v>
      </c>
      <c r="B14">
        <v>24</v>
      </c>
    </row>
    <row r="15" spans="1:2" x14ac:dyDescent="0.35">
      <c r="A15" s="2">
        <v>1960</v>
      </c>
      <c r="B15">
        <v>25.5</v>
      </c>
    </row>
    <row r="16" spans="1:2" x14ac:dyDescent="0.35">
      <c r="A16" s="2">
        <v>1961</v>
      </c>
      <c r="B16">
        <v>26.2</v>
      </c>
    </row>
    <row r="17" spans="1:2" x14ac:dyDescent="0.35">
      <c r="A17" s="2">
        <v>1962</v>
      </c>
      <c r="B17">
        <v>26.5</v>
      </c>
    </row>
    <row r="18" spans="1:2" x14ac:dyDescent="0.35">
      <c r="A18" s="2">
        <v>1963</v>
      </c>
      <c r="B18">
        <v>27.8</v>
      </c>
    </row>
    <row r="19" spans="1:2" x14ac:dyDescent="0.35">
      <c r="A19" s="2">
        <v>1964</v>
      </c>
      <c r="B19">
        <v>29.4</v>
      </c>
    </row>
    <row r="20" spans="1:2" x14ac:dyDescent="0.35">
      <c r="A20" s="2">
        <v>1965</v>
      </c>
      <c r="B20">
        <v>30</v>
      </c>
    </row>
    <row r="21" spans="1:2" x14ac:dyDescent="0.35">
      <c r="A21" s="2">
        <v>1966</v>
      </c>
      <c r="B21">
        <v>30.5</v>
      </c>
    </row>
    <row r="22" spans="1:2" x14ac:dyDescent="0.35">
      <c r="A22" s="2">
        <v>1967</v>
      </c>
      <c r="B22">
        <v>31.3</v>
      </c>
    </row>
    <row r="23" spans="1:2" x14ac:dyDescent="0.35">
      <c r="A23" s="2">
        <v>1968</v>
      </c>
      <c r="B23">
        <v>33</v>
      </c>
    </row>
    <row r="24" spans="1:2" x14ac:dyDescent="0.35">
      <c r="A24" s="2">
        <v>1969</v>
      </c>
      <c r="B24">
        <v>33.6</v>
      </c>
    </row>
    <row r="25" spans="1:2" x14ac:dyDescent="0.35">
      <c r="A25" s="2">
        <v>1970</v>
      </c>
      <c r="B25">
        <v>34.5</v>
      </c>
    </row>
    <row r="26" spans="1:2" x14ac:dyDescent="0.35">
      <c r="A26" s="2">
        <v>1971</v>
      </c>
      <c r="B26">
        <v>35.799999999999997</v>
      </c>
    </row>
    <row r="27" spans="1:2" x14ac:dyDescent="0.35">
      <c r="A27" s="2">
        <v>1972</v>
      </c>
      <c r="B27">
        <v>37.299999999999997</v>
      </c>
    </row>
    <row r="28" spans="1:2" x14ac:dyDescent="0.35">
      <c r="A28" s="2">
        <v>1973</v>
      </c>
      <c r="B28">
        <v>39.799999999999997</v>
      </c>
    </row>
    <row r="29" spans="1:2" x14ac:dyDescent="0.35">
      <c r="A29" s="2">
        <v>1974</v>
      </c>
      <c r="B29">
        <v>38.799999999999997</v>
      </c>
    </row>
    <row r="30" spans="1:2" x14ac:dyDescent="0.35">
      <c r="A30" s="2">
        <v>1975</v>
      </c>
      <c r="B30">
        <v>38.200000000000003</v>
      </c>
    </row>
    <row r="31" spans="1:2" x14ac:dyDescent="0.35">
      <c r="A31" s="2">
        <v>1976</v>
      </c>
      <c r="B31">
        <v>39.299999999999997</v>
      </c>
    </row>
    <row r="32" spans="1:2" x14ac:dyDescent="0.35">
      <c r="A32" s="2">
        <v>1977</v>
      </c>
      <c r="B32">
        <v>40.299999999999997</v>
      </c>
    </row>
    <row r="33" spans="1:2" x14ac:dyDescent="0.35">
      <c r="A33" s="2">
        <v>1978</v>
      </c>
      <c r="B33">
        <v>42</v>
      </c>
    </row>
    <row r="34" spans="1:2" x14ac:dyDescent="0.35">
      <c r="A34" s="2">
        <v>1979</v>
      </c>
      <c r="B34">
        <v>43.5</v>
      </c>
    </row>
    <row r="35" spans="1:2" x14ac:dyDescent="0.35">
      <c r="A35" s="2">
        <v>1980</v>
      </c>
      <c r="B35">
        <v>42.6</v>
      </c>
    </row>
    <row r="36" spans="1:2" x14ac:dyDescent="0.35">
      <c r="A36" s="2">
        <v>1981</v>
      </c>
      <c r="B36">
        <v>42.3</v>
      </c>
    </row>
    <row r="37" spans="1:2" x14ac:dyDescent="0.35">
      <c r="A37" s="2">
        <v>1982</v>
      </c>
      <c r="B37">
        <v>43.2</v>
      </c>
    </row>
    <row r="38" spans="1:2" x14ac:dyDescent="0.35">
      <c r="A38" s="2">
        <v>1983</v>
      </c>
      <c r="B38">
        <v>45</v>
      </c>
    </row>
    <row r="39" spans="1:2" x14ac:dyDescent="0.35">
      <c r="A39" s="2">
        <v>1984</v>
      </c>
      <c r="B39">
        <v>46</v>
      </c>
    </row>
    <row r="40" spans="1:2" x14ac:dyDescent="0.35">
      <c r="A40" s="2">
        <v>1985</v>
      </c>
      <c r="B40">
        <v>47.9</v>
      </c>
    </row>
    <row r="41" spans="1:2" x14ac:dyDescent="0.35">
      <c r="A41" s="2">
        <v>1986</v>
      </c>
      <c r="B41">
        <v>49.4</v>
      </c>
    </row>
    <row r="42" spans="1:2" x14ac:dyDescent="0.35">
      <c r="A42" s="2">
        <v>1987</v>
      </c>
      <c r="B42">
        <v>52.1</v>
      </c>
    </row>
    <row r="43" spans="1:2" x14ac:dyDescent="0.35">
      <c r="A43" s="2">
        <v>1988</v>
      </c>
      <c r="B43">
        <v>55</v>
      </c>
    </row>
    <row r="44" spans="1:2" x14ac:dyDescent="0.35">
      <c r="A44" s="2">
        <v>1989</v>
      </c>
      <c r="B44">
        <v>56.3</v>
      </c>
    </row>
    <row r="45" spans="1:2" x14ac:dyDescent="0.35">
      <c r="A45" s="2">
        <v>1990</v>
      </c>
      <c r="B45">
        <v>56.7</v>
      </c>
    </row>
    <row r="46" spans="1:2" x14ac:dyDescent="0.35">
      <c r="A46" s="2">
        <v>1991</v>
      </c>
      <c r="B46">
        <v>56</v>
      </c>
    </row>
    <row r="47" spans="1:2" x14ac:dyDescent="0.35">
      <c r="A47" s="2">
        <v>1992</v>
      </c>
      <c r="B47">
        <v>56.2</v>
      </c>
    </row>
    <row r="48" spans="1:2" x14ac:dyDescent="0.35">
      <c r="A48" s="2">
        <v>1993</v>
      </c>
      <c r="B48">
        <v>57.5</v>
      </c>
    </row>
    <row r="49" spans="1:2" x14ac:dyDescent="0.35">
      <c r="A49" s="2">
        <v>1994</v>
      </c>
      <c r="B49">
        <v>59.7</v>
      </c>
    </row>
    <row r="50" spans="1:2" x14ac:dyDescent="0.35">
      <c r="A50" s="2">
        <v>1995</v>
      </c>
      <c r="B50">
        <v>61.2</v>
      </c>
    </row>
    <row r="51" spans="1:2" x14ac:dyDescent="0.35">
      <c r="A51" s="2">
        <v>1996</v>
      </c>
      <c r="B51">
        <v>62.6</v>
      </c>
    </row>
    <row r="52" spans="1:2" x14ac:dyDescent="0.35">
      <c r="A52" s="2">
        <v>1997</v>
      </c>
      <c r="B52">
        <v>65.7</v>
      </c>
    </row>
    <row r="53" spans="1:2" x14ac:dyDescent="0.35">
      <c r="A53" s="2">
        <v>1998</v>
      </c>
      <c r="B53">
        <v>67.8</v>
      </c>
    </row>
    <row r="54" spans="1:2" x14ac:dyDescent="0.35">
      <c r="A54" s="2">
        <v>1999</v>
      </c>
      <c r="B54">
        <v>69.8</v>
      </c>
    </row>
    <row r="55" spans="1:2" x14ac:dyDescent="0.35">
      <c r="A55" s="2">
        <v>2000</v>
      </c>
      <c r="B55">
        <v>72.400000000000006</v>
      </c>
    </row>
    <row r="56" spans="1:2" x14ac:dyDescent="0.35">
      <c r="A56" s="2">
        <v>2001</v>
      </c>
      <c r="B56">
        <v>73.900000000000006</v>
      </c>
    </row>
    <row r="57" spans="1:2" x14ac:dyDescent="0.35">
      <c r="A57" s="2">
        <v>2002</v>
      </c>
      <c r="B57">
        <v>75.5</v>
      </c>
    </row>
    <row r="58" spans="1:2" x14ac:dyDescent="0.35">
      <c r="A58" s="2">
        <v>2003</v>
      </c>
      <c r="B58">
        <v>77.7</v>
      </c>
    </row>
    <row r="59" spans="1:2" x14ac:dyDescent="0.35">
      <c r="A59" s="2">
        <v>2004</v>
      </c>
      <c r="B59">
        <v>79.599999999999994</v>
      </c>
    </row>
    <row r="60" spans="1:2" x14ac:dyDescent="0.35">
      <c r="A60" s="2">
        <v>2005</v>
      </c>
      <c r="B60">
        <v>81.599999999999994</v>
      </c>
    </row>
    <row r="61" spans="1:2" x14ac:dyDescent="0.35">
      <c r="A61" s="2">
        <v>2006</v>
      </c>
      <c r="B61">
        <v>83.7</v>
      </c>
    </row>
    <row r="62" spans="1:2" x14ac:dyDescent="0.35">
      <c r="A62" s="2">
        <v>2007</v>
      </c>
      <c r="B62">
        <v>85.7</v>
      </c>
    </row>
    <row r="63" spans="1:2" x14ac:dyDescent="0.35">
      <c r="A63" s="2">
        <v>2008</v>
      </c>
      <c r="B63">
        <v>85.4</v>
      </c>
    </row>
    <row r="64" spans="1:2" x14ac:dyDescent="0.35">
      <c r="A64" s="2">
        <v>2009</v>
      </c>
      <c r="B64">
        <v>81.8</v>
      </c>
    </row>
    <row r="65" spans="1:2" x14ac:dyDescent="0.35">
      <c r="A65" s="2">
        <v>2010</v>
      </c>
      <c r="B65">
        <v>83.6</v>
      </c>
    </row>
    <row r="66" spans="1:2" x14ac:dyDescent="0.35">
      <c r="A66" s="2">
        <v>2011</v>
      </c>
      <c r="B66">
        <v>84.8</v>
      </c>
    </row>
    <row r="67" spans="1:2" x14ac:dyDescent="0.35">
      <c r="A67" s="2">
        <v>2012</v>
      </c>
      <c r="B67">
        <v>86</v>
      </c>
    </row>
    <row r="68" spans="1:2" x14ac:dyDescent="0.35">
      <c r="A68" s="2">
        <v>2013</v>
      </c>
      <c r="B68">
        <v>87.6</v>
      </c>
    </row>
    <row r="69" spans="1:2" x14ac:dyDescent="0.35">
      <c r="A69" s="2">
        <v>2014</v>
      </c>
      <c r="B69">
        <v>90.3</v>
      </c>
    </row>
    <row r="70" spans="1:2" x14ac:dyDescent="0.35">
      <c r="A70" s="2">
        <v>2015</v>
      </c>
      <c r="B70">
        <v>92.6</v>
      </c>
    </row>
    <row r="71" spans="1:2" x14ac:dyDescent="0.35">
      <c r="A71" s="2">
        <v>2016</v>
      </c>
      <c r="B71">
        <v>94.7</v>
      </c>
    </row>
    <row r="72" spans="1:2" x14ac:dyDescent="0.35">
      <c r="A72" s="2">
        <v>2017</v>
      </c>
      <c r="B72">
        <v>96.8</v>
      </c>
    </row>
    <row r="73" spans="1:2" x14ac:dyDescent="0.35">
      <c r="A73" s="2">
        <v>2018</v>
      </c>
      <c r="B73">
        <v>98.4</v>
      </c>
    </row>
    <row r="74" spans="1:2" x14ac:dyDescent="0.35">
      <c r="A74" s="2">
        <v>2019</v>
      </c>
      <c r="B74">
        <v>100</v>
      </c>
    </row>
    <row r="75" spans="1:2" x14ac:dyDescent="0.35">
      <c r="A75" s="2">
        <v>2020</v>
      </c>
      <c r="B75">
        <v>90.6</v>
      </c>
    </row>
    <row r="76" spans="1:2" x14ac:dyDescent="0.35">
      <c r="A76" s="2">
        <v>2021</v>
      </c>
      <c r="B76">
        <v>97.4</v>
      </c>
    </row>
    <row r="77" spans="1:2" x14ac:dyDescent="0.35">
      <c r="A77" s="2">
        <v>2022</v>
      </c>
      <c r="B77">
        <v>99.757148331179067</v>
      </c>
    </row>
    <row r="78" spans="1:2" x14ac:dyDescent="0.35">
      <c r="A78" s="2">
        <v>2023</v>
      </c>
      <c r="B78">
        <v>102.17134130563514</v>
      </c>
    </row>
    <row r="79" spans="1:2" x14ac:dyDescent="0.35">
      <c r="A79" s="2">
        <v>2024</v>
      </c>
      <c r="B79">
        <v>104.64395944375532</v>
      </c>
    </row>
    <row r="80" spans="1:2" x14ac:dyDescent="0.35">
      <c r="A80" s="2">
        <v>2025</v>
      </c>
      <c r="B80">
        <v>107.17641667548857</v>
      </c>
    </row>
    <row r="81" spans="1:2" x14ac:dyDescent="0.35">
      <c r="A81" s="2">
        <v>2026</v>
      </c>
      <c r="B81">
        <v>109.77016114888056</v>
      </c>
    </row>
    <row r="82" spans="1:2" x14ac:dyDescent="0.35">
      <c r="A82" s="2">
        <v>2027</v>
      </c>
      <c r="B82">
        <v>112.42667605817564</v>
      </c>
    </row>
    <row r="83" spans="1:2" x14ac:dyDescent="0.35">
      <c r="A83" s="2">
        <v>2028</v>
      </c>
      <c r="B83">
        <v>115.1474804919594</v>
      </c>
    </row>
    <row r="84" spans="1:2" x14ac:dyDescent="0.35">
      <c r="A84" s="2">
        <v>2029</v>
      </c>
      <c r="B84">
        <v>117.9341303018269</v>
      </c>
    </row>
    <row r="85" spans="1:2" x14ac:dyDescent="0.35">
      <c r="A85" s="2">
        <v>2030</v>
      </c>
      <c r="B85">
        <v>120.78821899207334</v>
      </c>
    </row>
    <row r="86" spans="1:2" x14ac:dyDescent="0.35">
      <c r="A86" s="2">
        <v>2031</v>
      </c>
      <c r="B86">
        <v>123.7113786309158</v>
      </c>
    </row>
    <row r="87" spans="1:2" x14ac:dyDescent="0.35">
      <c r="A87" s="2">
        <v>2032</v>
      </c>
      <c r="B87">
        <v>126.70528078376718</v>
      </c>
    </row>
    <row r="88" spans="1:2" x14ac:dyDescent="0.35">
      <c r="A88" s="2">
        <v>2033</v>
      </c>
      <c r="B88">
        <v>129.77163746909605</v>
      </c>
    </row>
    <row r="89" spans="1:2" x14ac:dyDescent="0.35">
      <c r="A89" s="2">
        <v>2034</v>
      </c>
      <c r="B89">
        <v>132.912202137419</v>
      </c>
    </row>
    <row r="90" spans="1:2" x14ac:dyDescent="0.35">
      <c r="A90" s="2">
        <v>2035</v>
      </c>
      <c r="B90">
        <v>136.12877067398526</v>
      </c>
    </row>
    <row r="91" spans="1:2" x14ac:dyDescent="0.35">
      <c r="A91" s="2">
        <v>2036</v>
      </c>
      <c r="B91">
        <v>139.42318242572699</v>
      </c>
    </row>
    <row r="92" spans="1:2" x14ac:dyDescent="0.35">
      <c r="A92" s="2">
        <v>2037</v>
      </c>
      <c r="B92">
        <v>142.79732125306251</v>
      </c>
    </row>
    <row r="93" spans="1:2" x14ac:dyDescent="0.35">
      <c r="A93" s="2">
        <v>2038</v>
      </c>
      <c r="B93">
        <v>146.25311660715386</v>
      </c>
    </row>
    <row r="94" spans="1:2" x14ac:dyDescent="0.35">
      <c r="A94" s="2">
        <v>2039</v>
      </c>
      <c r="B94">
        <v>149.79254463323488</v>
      </c>
    </row>
    <row r="95" spans="1:2" x14ac:dyDescent="0.35">
      <c r="A95" s="2">
        <v>2040</v>
      </c>
      <c r="B95">
        <v>153.41762930064039</v>
      </c>
    </row>
    <row r="96" spans="1:2" x14ac:dyDescent="0.35">
      <c r="A96" s="2">
        <v>2041</v>
      </c>
      <c r="B96">
        <v>157.13044356018301</v>
      </c>
    </row>
    <row r="97" spans="1:2" x14ac:dyDescent="0.35">
      <c r="A97" s="2">
        <v>2042</v>
      </c>
      <c r="B97">
        <v>160.93311052953939</v>
      </c>
    </row>
    <row r="98" spans="1:2" x14ac:dyDescent="0.35">
      <c r="A98" s="2">
        <v>2043</v>
      </c>
      <c r="B98">
        <v>164.82780470732337</v>
      </c>
    </row>
    <row r="99" spans="1:2" x14ac:dyDescent="0.35">
      <c r="A99" s="2">
        <v>2044</v>
      </c>
      <c r="B99">
        <v>168.81675321654077</v>
      </c>
    </row>
    <row r="100" spans="1:2" x14ac:dyDescent="0.35">
      <c r="A100" s="2">
        <v>2045</v>
      </c>
      <c r="B100">
        <v>172.90223707813664</v>
      </c>
    </row>
    <row r="101" spans="1:2" x14ac:dyDescent="0.35">
      <c r="A101" s="2">
        <v>2046</v>
      </c>
      <c r="B101">
        <v>177.08659251536309</v>
      </c>
    </row>
    <row r="102" spans="1:2" x14ac:dyDescent="0.35">
      <c r="A102" s="2">
        <v>2047</v>
      </c>
      <c r="B102">
        <v>181.37221228971399</v>
      </c>
    </row>
    <row r="103" spans="1:2" x14ac:dyDescent="0.35">
      <c r="A103" s="2">
        <v>2048</v>
      </c>
      <c r="B103">
        <v>185.76154706918993</v>
      </c>
    </row>
    <row r="104" spans="1:2" x14ac:dyDescent="0.35">
      <c r="A104" s="2">
        <v>2049</v>
      </c>
      <c r="B104">
        <v>190.25710682967642</v>
      </c>
    </row>
    <row r="105" spans="1:2" x14ac:dyDescent="0.35">
      <c r="A105" s="2">
        <v>2050</v>
      </c>
      <c r="B105">
        <v>194.86146229023626</v>
      </c>
    </row>
    <row r="106" spans="1:2" x14ac:dyDescent="0.35">
      <c r="A106" s="2">
        <v>2051</v>
      </c>
      <c r="B106">
        <v>199.57724638313712</v>
      </c>
    </row>
    <row r="107" spans="1:2" x14ac:dyDescent="0.35">
      <c r="A107" s="2">
        <v>2052</v>
      </c>
      <c r="B107">
        <v>204.40715575945461</v>
      </c>
    </row>
    <row r="108" spans="1:2" x14ac:dyDescent="0.35">
      <c r="A108" s="2">
        <v>2053</v>
      </c>
      <c r="B108">
        <v>209.35395233111228</v>
      </c>
    </row>
    <row r="109" spans="1:2" x14ac:dyDescent="0.35">
      <c r="A109" s="2">
        <v>2054</v>
      </c>
      <c r="B109">
        <v>214.42046485023982</v>
      </c>
    </row>
    <row r="110" spans="1:2" x14ac:dyDescent="0.35">
      <c r="A110" s="2">
        <v>2055</v>
      </c>
      <c r="B110">
        <v>219.60959052675298</v>
      </c>
    </row>
    <row r="111" spans="1:2" x14ac:dyDescent="0.35">
      <c r="A111" s="2">
        <v>2056</v>
      </c>
      <c r="B111">
        <v>224.92429668508001</v>
      </c>
    </row>
    <row r="112" spans="1:2" x14ac:dyDescent="0.35">
      <c r="A112" s="2">
        <v>2057</v>
      </c>
      <c r="B112">
        <v>230.36762246098209</v>
      </c>
    </row>
    <row r="113" spans="1:2" x14ac:dyDescent="0.35">
      <c r="A113" s="2">
        <v>2058</v>
      </c>
      <c r="B113">
        <v>235.9426805394379</v>
      </c>
    </row>
    <row r="114" spans="1:2" x14ac:dyDescent="0.35">
      <c r="A114" s="2">
        <v>2059</v>
      </c>
      <c r="B114">
        <v>241.65265893458633</v>
      </c>
    </row>
    <row r="115" spans="1:2" x14ac:dyDescent="0.35">
      <c r="A115" s="2">
        <v>2060</v>
      </c>
      <c r="B115">
        <v>247.50082281274493</v>
      </c>
    </row>
    <row r="116" spans="1:2" x14ac:dyDescent="0.35">
      <c r="A116" s="2">
        <v>2061</v>
      </c>
      <c r="B116">
        <v>253.49051635954683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B7FF6-C3ED-409F-83AB-FB5EAD53E39E}">
  <dimension ref="A1:B42"/>
  <sheetViews>
    <sheetView workbookViewId="0"/>
  </sheetViews>
  <sheetFormatPr defaultColWidth="8.81640625" defaultRowHeight="14.5" x14ac:dyDescent="0.35"/>
  <sheetData>
    <row r="1" spans="1:2" x14ac:dyDescent="0.35">
      <c r="A1" t="s">
        <v>0</v>
      </c>
      <c r="B1" t="s">
        <v>1</v>
      </c>
    </row>
    <row r="2" spans="1:2" x14ac:dyDescent="0.35">
      <c r="A2">
        <v>1987</v>
      </c>
      <c r="B2" s="1">
        <v>48.34160833287882</v>
      </c>
    </row>
    <row r="3" spans="1:2" x14ac:dyDescent="0.35">
      <c r="A3" s="2">
        <v>1988</v>
      </c>
      <c r="B3" s="1">
        <v>49.6</v>
      </c>
    </row>
    <row r="4" spans="1:2" x14ac:dyDescent="0.35">
      <c r="A4" s="2">
        <v>1989</v>
      </c>
      <c r="B4" s="1">
        <v>52.2</v>
      </c>
    </row>
    <row r="5" spans="1:2" x14ac:dyDescent="0.35">
      <c r="A5" s="2">
        <v>1990</v>
      </c>
      <c r="B5" s="1">
        <v>55.9</v>
      </c>
    </row>
    <row r="6" spans="1:2" x14ac:dyDescent="0.35">
      <c r="A6" s="2">
        <v>1991</v>
      </c>
      <c r="B6" s="1">
        <v>60.1</v>
      </c>
    </row>
    <row r="7" spans="1:2" x14ac:dyDescent="0.35">
      <c r="A7" s="2">
        <v>1992</v>
      </c>
      <c r="B7" s="1">
        <v>62.6</v>
      </c>
    </row>
    <row r="8" spans="1:2" x14ac:dyDescent="0.35">
      <c r="A8" s="2">
        <v>1993</v>
      </c>
      <c r="B8" s="1">
        <v>64.2</v>
      </c>
    </row>
    <row r="9" spans="1:2" x14ac:dyDescent="0.35">
      <c r="A9" s="2">
        <v>1994</v>
      </c>
      <c r="B9" s="1">
        <v>65.5</v>
      </c>
    </row>
    <row r="10" spans="1:2" x14ac:dyDescent="0.35">
      <c r="A10" s="2">
        <v>1995</v>
      </c>
      <c r="B10" s="1">
        <v>67.2</v>
      </c>
    </row>
    <row r="11" spans="1:2" x14ac:dyDescent="0.35">
      <c r="A11" s="2">
        <v>1996</v>
      </c>
      <c r="B11" s="1">
        <v>68.8</v>
      </c>
    </row>
    <row r="12" spans="1:2" x14ac:dyDescent="0.35">
      <c r="A12" s="2">
        <v>1997</v>
      </c>
      <c r="B12" s="1">
        <v>70.099999999999994</v>
      </c>
    </row>
    <row r="13" spans="1:2" x14ac:dyDescent="0.35">
      <c r="A13" s="2">
        <v>1998</v>
      </c>
      <c r="B13" s="1">
        <v>71.2</v>
      </c>
    </row>
    <row r="14" spans="1:2" x14ac:dyDescent="0.35">
      <c r="A14" s="2">
        <v>1999</v>
      </c>
      <c r="B14" s="1">
        <v>72.099999999999994</v>
      </c>
    </row>
    <row r="15" spans="1:2" x14ac:dyDescent="0.35">
      <c r="A15" s="2">
        <v>2000</v>
      </c>
      <c r="B15" s="1">
        <v>72.7</v>
      </c>
    </row>
    <row r="16" spans="1:2" x14ac:dyDescent="0.35">
      <c r="A16" s="2">
        <v>2001</v>
      </c>
      <c r="B16" s="1">
        <v>73.599999999999994</v>
      </c>
    </row>
    <row r="17" spans="1:2" x14ac:dyDescent="0.35">
      <c r="A17" s="2">
        <v>2002</v>
      </c>
      <c r="B17" s="1">
        <v>74.5</v>
      </c>
    </row>
    <row r="18" spans="1:2" x14ac:dyDescent="0.35">
      <c r="A18" s="2">
        <v>2003</v>
      </c>
      <c r="B18" s="1">
        <v>75.5</v>
      </c>
    </row>
    <row r="19" spans="1:2" x14ac:dyDescent="0.35">
      <c r="A19" s="2">
        <v>2004</v>
      </c>
      <c r="B19" s="1">
        <v>76.5</v>
      </c>
    </row>
    <row r="20" spans="1:2" x14ac:dyDescent="0.35">
      <c r="A20" s="2">
        <v>2005</v>
      </c>
      <c r="B20" s="1">
        <v>78.099999999999994</v>
      </c>
    </row>
    <row r="21" spans="1:2" x14ac:dyDescent="0.35">
      <c r="A21" s="2">
        <v>2006</v>
      </c>
      <c r="B21" s="1">
        <v>79.900000000000006</v>
      </c>
    </row>
    <row r="22" spans="1:2" x14ac:dyDescent="0.35">
      <c r="A22" s="2">
        <v>2007</v>
      </c>
      <c r="B22" s="1">
        <v>81.8</v>
      </c>
    </row>
    <row r="23" spans="1:2" x14ac:dyDescent="0.35">
      <c r="A23" s="2">
        <v>2008</v>
      </c>
      <c r="B23" s="1">
        <v>84.7</v>
      </c>
    </row>
    <row r="24" spans="1:2" x14ac:dyDescent="0.35">
      <c r="A24" s="2">
        <v>2009</v>
      </c>
      <c r="B24" s="1">
        <v>86.6</v>
      </c>
    </row>
    <row r="25" spans="1:2" x14ac:dyDescent="0.35">
      <c r="A25" s="2">
        <v>2010</v>
      </c>
      <c r="B25" s="1">
        <v>89.4</v>
      </c>
    </row>
    <row r="26" spans="1:2" x14ac:dyDescent="0.35">
      <c r="A26" s="2">
        <v>2011</v>
      </c>
      <c r="B26" s="1">
        <v>93.4</v>
      </c>
    </row>
    <row r="27" spans="1:2" x14ac:dyDescent="0.35">
      <c r="A27" s="2">
        <v>2012</v>
      </c>
      <c r="B27" s="1">
        <v>96.1</v>
      </c>
    </row>
    <row r="28" spans="1:2" x14ac:dyDescent="0.35">
      <c r="A28" s="2">
        <v>2013</v>
      </c>
      <c r="B28" s="1">
        <v>98.5</v>
      </c>
    </row>
    <row r="29" spans="1:2" x14ac:dyDescent="0.35">
      <c r="A29" s="2">
        <v>2014</v>
      </c>
      <c r="B29" s="1">
        <v>100</v>
      </c>
    </row>
    <row r="30" spans="1:2" x14ac:dyDescent="0.35">
      <c r="A30" s="2">
        <v>2015</v>
      </c>
      <c r="B30" s="1">
        <v>100</v>
      </c>
    </row>
    <row r="31" spans="1:2" x14ac:dyDescent="0.35">
      <c r="A31" s="2">
        <v>2016</v>
      </c>
      <c r="B31" s="1">
        <v>100.7</v>
      </c>
    </row>
    <row r="32" spans="1:2" x14ac:dyDescent="0.35">
      <c r="A32" s="2">
        <v>2017</v>
      </c>
      <c r="B32" s="1">
        <v>103.4</v>
      </c>
    </row>
    <row r="33" spans="1:2" x14ac:dyDescent="0.35">
      <c r="A33" s="2">
        <v>2018</v>
      </c>
      <c r="B33" s="1">
        <v>105.9</v>
      </c>
    </row>
    <row r="34" spans="1:2" x14ac:dyDescent="0.35">
      <c r="A34" s="2">
        <v>2019</v>
      </c>
      <c r="B34" s="1">
        <v>107.8</v>
      </c>
    </row>
    <row r="35" spans="1:2" x14ac:dyDescent="0.35">
      <c r="A35" s="2">
        <v>2020</v>
      </c>
      <c r="B35" s="1">
        <v>108.7</v>
      </c>
    </row>
    <row r="36" spans="1:2" x14ac:dyDescent="0.35">
      <c r="A36" s="2">
        <v>2021</v>
      </c>
      <c r="B36" s="1">
        <v>111.6</v>
      </c>
    </row>
    <row r="37" spans="1:2" x14ac:dyDescent="0.35">
      <c r="A37" s="2">
        <v>2022</v>
      </c>
      <c r="B37" s="1">
        <v>121.7</v>
      </c>
    </row>
    <row r="38" spans="1:2" x14ac:dyDescent="0.35">
      <c r="A38" s="2">
        <v>2023</v>
      </c>
      <c r="B38" s="1">
        <v>124.57395874315898</v>
      </c>
    </row>
    <row r="39" spans="1:2" x14ac:dyDescent="0.35">
      <c r="A39" s="2">
        <v>2024</v>
      </c>
      <c r="B39" s="1">
        <v>126.63064241784659</v>
      </c>
    </row>
    <row r="40" spans="1:2" x14ac:dyDescent="0.35">
      <c r="A40" s="2">
        <v>2025</v>
      </c>
      <c r="B40" s="1">
        <v>129.11704786530214</v>
      </c>
    </row>
    <row r="41" spans="1:2" x14ac:dyDescent="0.35">
      <c r="A41" s="2">
        <v>2026</v>
      </c>
      <c r="B41" s="1">
        <v>131.69938882260817</v>
      </c>
    </row>
    <row r="42" spans="1:2" x14ac:dyDescent="0.35">
      <c r="A42" s="2">
        <v>2027</v>
      </c>
      <c r="B42" s="1">
        <v>135.1276862908702</v>
      </c>
    </row>
  </sheetData>
  <pageMargins left="0.7" right="0.7" top="0.75" bottom="0.75" header="0.3" footer="0.3"/>
  <pageSetup paperSize="9"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F720F-7C77-40C9-9D26-48C5FF4C5828}">
  <dimension ref="A1:B30"/>
  <sheetViews>
    <sheetView workbookViewId="0"/>
  </sheetViews>
  <sheetFormatPr defaultColWidth="8.81640625" defaultRowHeight="14.5" x14ac:dyDescent="0.35"/>
  <sheetData>
    <row r="1" spans="1:2" x14ac:dyDescent="0.35">
      <c r="A1" t="s">
        <v>0</v>
      </c>
      <c r="B1" t="s">
        <v>1</v>
      </c>
    </row>
    <row r="2" spans="1:2" x14ac:dyDescent="0.35">
      <c r="A2">
        <v>2000</v>
      </c>
      <c r="B2">
        <v>143.29576929253196</v>
      </c>
    </row>
    <row r="3" spans="1:2" x14ac:dyDescent="0.35">
      <c r="A3" s="2">
        <v>2001</v>
      </c>
      <c r="B3">
        <v>143.98221858016308</v>
      </c>
    </row>
    <row r="4" spans="1:2" x14ac:dyDescent="0.35">
      <c r="A4" s="2">
        <v>2002</v>
      </c>
      <c r="B4">
        <v>146.66557346756156</v>
      </c>
    </row>
    <row r="5" spans="1:2" x14ac:dyDescent="0.35">
      <c r="A5" s="2">
        <v>2003</v>
      </c>
      <c r="B5">
        <v>149.63794972406183</v>
      </c>
    </row>
    <row r="6" spans="1:2" x14ac:dyDescent="0.35">
      <c r="A6" s="2">
        <v>2004</v>
      </c>
      <c r="B6">
        <v>154.58310870370369</v>
      </c>
    </row>
    <row r="7" spans="1:2" x14ac:dyDescent="0.35">
      <c r="A7" s="2">
        <v>2005</v>
      </c>
      <c r="B7">
        <v>158.46724928510457</v>
      </c>
    </row>
    <row r="8" spans="1:2" x14ac:dyDescent="0.35">
      <c r="A8" s="2">
        <v>2006</v>
      </c>
      <c r="B8">
        <v>162.59473676470591</v>
      </c>
    </row>
    <row r="9" spans="1:2" x14ac:dyDescent="0.35">
      <c r="A9" s="2">
        <v>2007</v>
      </c>
      <c r="B9">
        <v>165.95105268948654</v>
      </c>
    </row>
    <row r="10" spans="1:2" x14ac:dyDescent="0.35">
      <c r="A10" s="2">
        <v>2008</v>
      </c>
      <c r="B10">
        <v>162.87314316214093</v>
      </c>
    </row>
    <row r="11" spans="1:2" x14ac:dyDescent="0.35">
      <c r="A11" s="2">
        <v>2009</v>
      </c>
      <c r="B11">
        <v>161.37643170708242</v>
      </c>
    </row>
    <row r="12" spans="1:2" x14ac:dyDescent="0.35">
      <c r="A12" s="2">
        <v>2010</v>
      </c>
      <c r="B12">
        <v>159.65128374347503</v>
      </c>
    </row>
    <row r="13" spans="1:2" x14ac:dyDescent="0.35">
      <c r="A13" s="2">
        <v>2011</v>
      </c>
      <c r="B13">
        <v>155.56126007316206</v>
      </c>
    </row>
    <row r="14" spans="1:2" x14ac:dyDescent="0.35">
      <c r="A14" s="2">
        <v>2012</v>
      </c>
      <c r="B14">
        <v>153.17917333506765</v>
      </c>
    </row>
    <row r="15" spans="1:2" x14ac:dyDescent="0.35">
      <c r="A15" s="2">
        <v>2013</v>
      </c>
      <c r="B15">
        <v>151.43864936548223</v>
      </c>
    </row>
    <row r="16" spans="1:2" x14ac:dyDescent="0.35">
      <c r="A16" s="2">
        <v>2014</v>
      </c>
      <c r="B16">
        <v>151.03810470833329</v>
      </c>
    </row>
    <row r="17" spans="1:2" x14ac:dyDescent="0.35">
      <c r="A17" s="2">
        <v>2015</v>
      </c>
      <c r="B17">
        <v>154.63866195833333</v>
      </c>
    </row>
    <row r="18" spans="1:2" x14ac:dyDescent="0.35">
      <c r="A18" s="2">
        <v>2016</v>
      </c>
      <c r="B18">
        <v>157.19974334657394</v>
      </c>
    </row>
    <row r="19" spans="1:2" x14ac:dyDescent="0.35">
      <c r="A19" s="2">
        <v>2017</v>
      </c>
      <c r="B19">
        <v>156.93085901031591</v>
      </c>
    </row>
    <row r="20" spans="1:2" x14ac:dyDescent="0.35">
      <c r="A20" s="2">
        <v>2018</v>
      </c>
      <c r="B20">
        <v>157.85818999055712</v>
      </c>
    </row>
    <row r="21" spans="1:2" x14ac:dyDescent="0.35">
      <c r="A21" s="2">
        <v>2019</v>
      </c>
      <c r="B21">
        <v>160.03142759740257</v>
      </c>
    </row>
    <row r="22" spans="1:2" x14ac:dyDescent="0.35">
      <c r="A22" s="2">
        <v>2020</v>
      </c>
      <c r="B22">
        <v>162.12163966045293</v>
      </c>
    </row>
    <row r="23" spans="1:2" x14ac:dyDescent="0.35">
      <c r="A23" s="2">
        <v>2021</v>
      </c>
      <c r="B23">
        <v>168.45206453568233</v>
      </c>
    </row>
    <row r="24" spans="1:2" x14ac:dyDescent="0.35">
      <c r="A24" s="2">
        <v>2022</v>
      </c>
      <c r="B24">
        <v>162.20759979943486</v>
      </c>
    </row>
    <row r="25" spans="1:2" x14ac:dyDescent="0.35">
      <c r="A25" s="2">
        <v>2023</v>
      </c>
      <c r="B25">
        <v>164.79602326504056</v>
      </c>
    </row>
    <row r="26" spans="1:2" x14ac:dyDescent="0.35">
      <c r="A26" s="2">
        <v>2024</v>
      </c>
      <c r="B26">
        <v>163.94277212602779</v>
      </c>
    </row>
    <row r="27" spans="1:2" x14ac:dyDescent="0.35">
      <c r="A27" s="2">
        <v>2025</v>
      </c>
      <c r="B27">
        <v>163.18350470648323</v>
      </c>
    </row>
    <row r="28" spans="1:2" x14ac:dyDescent="0.35">
      <c r="A28" s="2">
        <v>2026</v>
      </c>
      <c r="B28">
        <v>163.21856984752483</v>
      </c>
    </row>
    <row r="29" spans="1:2" x14ac:dyDescent="0.35">
      <c r="A29" s="2">
        <v>2027</v>
      </c>
      <c r="B29">
        <v>163.03155667222143</v>
      </c>
    </row>
    <row r="30" spans="1:2" x14ac:dyDescent="0.35">
      <c r="A30" s="2">
        <v>2028</v>
      </c>
      <c r="B30">
        <v>163.81254899663941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1C571-12D2-48EC-9676-C9293E844074}">
  <dimension ref="A1:B38"/>
  <sheetViews>
    <sheetView workbookViewId="0"/>
  </sheetViews>
  <sheetFormatPr defaultColWidth="8.81640625" defaultRowHeight="14.5" x14ac:dyDescent="0.35"/>
  <sheetData>
    <row r="1" spans="1:2" x14ac:dyDescent="0.35">
      <c r="A1" t="s">
        <v>0</v>
      </c>
      <c r="B1" t="s">
        <v>1</v>
      </c>
    </row>
    <row r="2" spans="1:2" x14ac:dyDescent="0.35">
      <c r="A2">
        <v>1986</v>
      </c>
      <c r="B2" s="3">
        <v>4.6286405160227334E-2</v>
      </c>
    </row>
    <row r="3" spans="1:2" x14ac:dyDescent="0.35">
      <c r="A3">
        <v>1987</v>
      </c>
      <c r="B3" s="3">
        <v>3.011788658083403E-2</v>
      </c>
    </row>
    <row r="4" spans="1:2" x14ac:dyDescent="0.35">
      <c r="A4">
        <v>1988</v>
      </c>
      <c r="B4" s="3">
        <v>0.12856812528973971</v>
      </c>
    </row>
    <row r="5" spans="1:2" x14ac:dyDescent="0.35">
      <c r="A5">
        <v>1989</v>
      </c>
      <c r="B5" s="3">
        <v>0.13600529394329053</v>
      </c>
    </row>
    <row r="6" spans="1:2" x14ac:dyDescent="0.35">
      <c r="A6">
        <v>1990</v>
      </c>
      <c r="B6" s="3">
        <v>-4.1070497545090956E-2</v>
      </c>
    </row>
    <row r="7" spans="1:2" x14ac:dyDescent="0.35">
      <c r="A7">
        <v>1991</v>
      </c>
      <c r="B7" s="3">
        <v>5.7350544024686867E-2</v>
      </c>
    </row>
    <row r="8" spans="1:2" x14ac:dyDescent="0.35">
      <c r="A8">
        <v>1992</v>
      </c>
      <c r="B8" s="3">
        <v>5.7631202236563261E-2</v>
      </c>
    </row>
    <row r="9" spans="1:2" x14ac:dyDescent="0.35">
      <c r="A9">
        <v>1993</v>
      </c>
      <c r="B9" s="3">
        <v>7.8989706216779254E-2</v>
      </c>
    </row>
    <row r="10" spans="1:2" x14ac:dyDescent="0.35">
      <c r="A10">
        <v>1994</v>
      </c>
      <c r="B10" s="3">
        <v>-1.128760392020467E-2</v>
      </c>
    </row>
    <row r="11" spans="1:2" x14ac:dyDescent="0.35">
      <c r="A11">
        <v>1995</v>
      </c>
      <c r="B11" s="3">
        <v>9.2160859105373527E-2</v>
      </c>
    </row>
    <row r="12" spans="1:2" x14ac:dyDescent="0.35">
      <c r="A12">
        <v>1996</v>
      </c>
      <c r="B12" s="3">
        <v>8.5586180972958781E-2</v>
      </c>
    </row>
    <row r="13" spans="1:2" x14ac:dyDescent="0.35">
      <c r="A13">
        <v>1997</v>
      </c>
      <c r="B13" s="3">
        <v>0.13646101577698233</v>
      </c>
    </row>
    <row r="14" spans="1:2" x14ac:dyDescent="0.35">
      <c r="A14">
        <v>1998</v>
      </c>
      <c r="B14" s="3">
        <v>0.12375668034877796</v>
      </c>
    </row>
    <row r="15" spans="1:2" x14ac:dyDescent="0.35">
      <c r="A15">
        <v>1999</v>
      </c>
      <c r="B15" s="3">
        <v>0.14456105557563292</v>
      </c>
    </row>
    <row r="16" spans="1:2" x14ac:dyDescent="0.35">
      <c r="A16">
        <v>2000</v>
      </c>
      <c r="B16" s="3">
        <v>1.2753813678981984E-2</v>
      </c>
    </row>
    <row r="17" spans="1:2" x14ac:dyDescent="0.35">
      <c r="A17">
        <v>2001</v>
      </c>
      <c r="B17" s="3">
        <v>-2.1653766849825229E-2</v>
      </c>
    </row>
    <row r="18" spans="1:2" x14ac:dyDescent="0.35">
      <c r="A18">
        <v>2002</v>
      </c>
      <c r="B18" s="3">
        <v>-3.0859935638595126E-2</v>
      </c>
    </row>
    <row r="19" spans="1:2" x14ac:dyDescent="0.35">
      <c r="A19">
        <v>2003</v>
      </c>
      <c r="B19" s="3">
        <v>0.13021265938759741</v>
      </c>
    </row>
    <row r="20" spans="1:2" x14ac:dyDescent="0.35">
      <c r="A20">
        <v>2004</v>
      </c>
      <c r="B20" s="3">
        <v>0.11284628713988498</v>
      </c>
    </row>
    <row r="21" spans="1:2" x14ac:dyDescent="0.35">
      <c r="A21">
        <v>2005</v>
      </c>
      <c r="B21" s="3">
        <v>9.5700435119939753E-2</v>
      </c>
    </row>
    <row r="22" spans="1:2" x14ac:dyDescent="0.35">
      <c r="A22">
        <v>2006</v>
      </c>
      <c r="B22" s="3">
        <v>8.3497102825924818E-2</v>
      </c>
    </row>
    <row r="23" spans="1:2" x14ac:dyDescent="0.35">
      <c r="A23">
        <v>2007</v>
      </c>
      <c r="B23" s="3">
        <v>5.4036728450648441E-2</v>
      </c>
    </row>
    <row r="24" spans="1:2" x14ac:dyDescent="0.35">
      <c r="A24">
        <v>2008</v>
      </c>
      <c r="B24" s="3">
        <v>-0.16066262517109864</v>
      </c>
    </row>
    <row r="25" spans="1:2" x14ac:dyDescent="0.35">
      <c r="A25">
        <v>2009</v>
      </c>
      <c r="B25" s="3">
        <v>8.877196143526267E-2</v>
      </c>
    </row>
    <row r="26" spans="1:2" x14ac:dyDescent="0.35">
      <c r="A26">
        <v>2010</v>
      </c>
      <c r="B26" s="3">
        <v>5.6774110668480482E-2</v>
      </c>
    </row>
    <row r="27" spans="1:2" x14ac:dyDescent="0.35">
      <c r="A27">
        <v>2011</v>
      </c>
      <c r="B27" s="3">
        <v>-2.7392490880683962E-2</v>
      </c>
    </row>
    <row r="28" spans="1:2" x14ac:dyDescent="0.35">
      <c r="A28">
        <v>2012</v>
      </c>
      <c r="B28" s="3">
        <v>-2.2124513898473808E-2</v>
      </c>
    </row>
    <row r="29" spans="1:2" x14ac:dyDescent="0.35">
      <c r="A29">
        <v>2013</v>
      </c>
      <c r="B29" s="3">
        <v>7.5335930021486197E-2</v>
      </c>
    </row>
    <row r="30" spans="1:2" x14ac:dyDescent="0.35">
      <c r="A30">
        <v>2014</v>
      </c>
      <c r="B30" s="3">
        <v>7.9340966880817376E-2</v>
      </c>
    </row>
    <row r="31" spans="1:2" x14ac:dyDescent="0.35">
      <c r="A31">
        <v>2015</v>
      </c>
      <c r="B31" s="3">
        <v>4.2381070018058686E-2</v>
      </c>
    </row>
    <row r="32" spans="1:2" x14ac:dyDescent="0.35">
      <c r="A32">
        <v>2016</v>
      </c>
      <c r="B32" s="3">
        <v>-4.8974784087532974E-2</v>
      </c>
    </row>
    <row r="33" spans="1:2" x14ac:dyDescent="0.35">
      <c r="A33">
        <v>2017</v>
      </c>
      <c r="B33" s="3">
        <v>7.0170871889905673E-2</v>
      </c>
    </row>
    <row r="34" spans="1:2" x14ac:dyDescent="0.35">
      <c r="A34">
        <v>2018</v>
      </c>
      <c r="B34" s="3">
        <v>2.840535022977253E-2</v>
      </c>
    </row>
    <row r="35" spans="1:2" x14ac:dyDescent="0.35">
      <c r="A35">
        <v>2019</v>
      </c>
      <c r="B35" s="3">
        <v>6.3714730205470804E-3</v>
      </c>
    </row>
    <row r="36" spans="1:2" x14ac:dyDescent="0.35">
      <c r="A36">
        <v>2020</v>
      </c>
      <c r="B36" s="3">
        <v>-7.3040697759606754E-2</v>
      </c>
    </row>
    <row r="37" spans="1:2" x14ac:dyDescent="0.35">
      <c r="A37">
        <v>2021</v>
      </c>
      <c r="B37" s="3">
        <v>4.9303785520141474E-2</v>
      </c>
    </row>
    <row r="38" spans="1:2" x14ac:dyDescent="0.35">
      <c r="A38">
        <v>2022</v>
      </c>
      <c r="B38" s="3">
        <v>4.6286405160227334E-2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0C8B1-8A2A-4CB2-AE85-70911F99E869}">
  <dimension ref="A1:B38"/>
  <sheetViews>
    <sheetView workbookViewId="0"/>
  </sheetViews>
  <sheetFormatPr defaultColWidth="8.81640625" defaultRowHeight="14.5" x14ac:dyDescent="0.35"/>
  <sheetData>
    <row r="1" spans="1:2" x14ac:dyDescent="0.35">
      <c r="A1" s="18" t="s">
        <v>0</v>
      </c>
      <c r="B1" s="18" t="s">
        <v>1</v>
      </c>
    </row>
    <row r="2" spans="1:2" x14ac:dyDescent="0.35">
      <c r="A2" s="18">
        <v>2011</v>
      </c>
      <c r="B2">
        <v>4.1787580299785798E-2</v>
      </c>
    </row>
    <row r="3" spans="1:2" x14ac:dyDescent="0.35">
      <c r="A3" s="18">
        <v>2012</v>
      </c>
      <c r="B3">
        <v>4.7324037460978241E-2</v>
      </c>
    </row>
    <row r="4" spans="1:2" x14ac:dyDescent="0.35">
      <c r="A4" s="18">
        <v>2013</v>
      </c>
      <c r="B4">
        <v>3.7880000000000136E-2</v>
      </c>
    </row>
    <row r="5" spans="1:2" x14ac:dyDescent="0.35">
      <c r="A5" s="18">
        <v>2014</v>
      </c>
      <c r="B5">
        <v>3.612150000000014E-2</v>
      </c>
    </row>
    <row r="6" spans="1:2" x14ac:dyDescent="0.35">
      <c r="A6" s="18">
        <v>2015</v>
      </c>
      <c r="B6">
        <v>4.4000000000000039E-2</v>
      </c>
    </row>
    <row r="7" spans="1:2" x14ac:dyDescent="0.35">
      <c r="A7" s="18">
        <v>2016</v>
      </c>
      <c r="B7">
        <v>3.3962264150943167E-2</v>
      </c>
    </row>
    <row r="8" spans="1:2" x14ac:dyDescent="0.35">
      <c r="A8" s="18">
        <v>2017</v>
      </c>
      <c r="B8">
        <v>1.0603384912959424E-2</v>
      </c>
    </row>
    <row r="9" spans="1:2" x14ac:dyDescent="0.35">
      <c r="A9" s="18">
        <v>2018</v>
      </c>
      <c r="B9">
        <v>1.3495750708215182E-2</v>
      </c>
    </row>
    <row r="10" spans="1:2" x14ac:dyDescent="0.35">
      <c r="A10" s="18">
        <v>2019</v>
      </c>
      <c r="B10">
        <v>1.8231447124304356E-2</v>
      </c>
    </row>
    <row r="11" spans="1:2" x14ac:dyDescent="0.35">
      <c r="A11" s="18">
        <v>2020</v>
      </c>
      <c r="B11">
        <v>2.6529714811407423E-2</v>
      </c>
    </row>
    <row r="12" spans="1:2" x14ac:dyDescent="0.35">
      <c r="A12" s="18">
        <v>2021</v>
      </c>
      <c r="B12">
        <v>1.0832078853046712E-2</v>
      </c>
    </row>
    <row r="13" spans="1:2" x14ac:dyDescent="0.35">
      <c r="A13" s="18">
        <v>2022</v>
      </c>
      <c r="B13">
        <v>-4.1908956450287582E-2</v>
      </c>
    </row>
    <row r="14" spans="1:2" x14ac:dyDescent="0.35">
      <c r="A14" s="18">
        <v>2023</v>
      </c>
      <c r="B14">
        <v>3.9941664430040769E-2</v>
      </c>
    </row>
    <row r="15" spans="1:2" x14ac:dyDescent="0.35">
      <c r="A15" s="18">
        <v>2024</v>
      </c>
      <c r="B15">
        <v>4.9670217579324216E-2</v>
      </c>
    </row>
    <row r="16" spans="1:2" x14ac:dyDescent="0.35">
      <c r="A16" s="18">
        <v>2025</v>
      </c>
      <c r="B16">
        <v>4.6060496548661067E-2</v>
      </c>
    </row>
    <row r="17" spans="1:2" x14ac:dyDescent="0.35">
      <c r="A17" s="18">
        <v>2026</v>
      </c>
      <c r="B17" s="19">
        <v>2.7635412028625274E-2</v>
      </c>
    </row>
    <row r="18" spans="1:2" x14ac:dyDescent="0.35">
      <c r="A18" s="18"/>
      <c r="B18" s="19"/>
    </row>
    <row r="19" spans="1:2" x14ac:dyDescent="0.35">
      <c r="A19" s="18"/>
      <c r="B19" s="19"/>
    </row>
    <row r="20" spans="1:2" x14ac:dyDescent="0.35">
      <c r="A20" s="18"/>
      <c r="B20" s="19"/>
    </row>
    <row r="21" spans="1:2" x14ac:dyDescent="0.35">
      <c r="A21" s="18"/>
      <c r="B21" s="19"/>
    </row>
    <row r="22" spans="1:2" x14ac:dyDescent="0.35">
      <c r="A22" s="18"/>
      <c r="B22" s="19"/>
    </row>
    <row r="23" spans="1:2" x14ac:dyDescent="0.35">
      <c r="A23" s="18"/>
      <c r="B23" s="19"/>
    </row>
    <row r="24" spans="1:2" x14ac:dyDescent="0.35">
      <c r="A24" s="18"/>
      <c r="B24" s="19"/>
    </row>
    <row r="25" spans="1:2" x14ac:dyDescent="0.35">
      <c r="A25" s="18"/>
      <c r="B25" s="19"/>
    </row>
    <row r="26" spans="1:2" x14ac:dyDescent="0.35">
      <c r="A26" s="18"/>
      <c r="B26" s="19"/>
    </row>
    <row r="27" spans="1:2" x14ac:dyDescent="0.35">
      <c r="A27" s="18"/>
      <c r="B27" s="19"/>
    </row>
    <row r="28" spans="1:2" x14ac:dyDescent="0.35">
      <c r="A28" s="18"/>
      <c r="B28" s="19"/>
    </row>
    <row r="29" spans="1:2" x14ac:dyDescent="0.35">
      <c r="A29" s="18"/>
      <c r="B29" s="19"/>
    </row>
    <row r="30" spans="1:2" x14ac:dyDescent="0.35">
      <c r="A30" s="18"/>
      <c r="B30" s="19"/>
    </row>
    <row r="31" spans="1:2" x14ac:dyDescent="0.35">
      <c r="A31" s="18"/>
      <c r="B31" s="19"/>
    </row>
    <row r="32" spans="1:2" x14ac:dyDescent="0.35">
      <c r="A32" s="18"/>
      <c r="B32" s="19"/>
    </row>
    <row r="33" spans="1:2" x14ac:dyDescent="0.35">
      <c r="A33" s="18"/>
      <c r="B33" s="19"/>
    </row>
    <row r="34" spans="1:2" x14ac:dyDescent="0.35">
      <c r="A34" s="18"/>
      <c r="B34" s="19"/>
    </row>
    <row r="35" spans="1:2" x14ac:dyDescent="0.35">
      <c r="A35" s="18"/>
      <c r="B35" s="19"/>
    </row>
    <row r="36" spans="1:2" x14ac:dyDescent="0.35">
      <c r="A36" s="18"/>
      <c r="B36" s="19"/>
    </row>
    <row r="37" spans="1:2" x14ac:dyDescent="0.35">
      <c r="A37" s="18"/>
      <c r="B37" s="19"/>
    </row>
    <row r="38" spans="1:2" x14ac:dyDescent="0.35">
      <c r="B38" s="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D1202-306C-4A3E-BE31-47D9872C9300}">
  <dimension ref="A1:B38"/>
  <sheetViews>
    <sheetView workbookViewId="0"/>
  </sheetViews>
  <sheetFormatPr defaultColWidth="8.81640625" defaultRowHeight="14.5" x14ac:dyDescent="0.35"/>
  <sheetData>
    <row r="1" spans="1:2" x14ac:dyDescent="0.35">
      <c r="A1" s="18" t="s">
        <v>0</v>
      </c>
      <c r="B1" s="18" t="s">
        <v>1</v>
      </c>
    </row>
    <row r="2" spans="1:2" x14ac:dyDescent="0.35">
      <c r="A2" s="18">
        <v>2011</v>
      </c>
      <c r="B2">
        <v>0.11788286937901482</v>
      </c>
    </row>
    <row r="3" spans="1:2" x14ac:dyDescent="0.35">
      <c r="A3" s="18">
        <v>2012</v>
      </c>
      <c r="B3">
        <v>0.13994651404786707</v>
      </c>
    </row>
    <row r="4" spans="1:2" x14ac:dyDescent="0.35">
      <c r="A4" s="18">
        <v>2013</v>
      </c>
      <c r="B4">
        <v>0.14978527918781737</v>
      </c>
    </row>
    <row r="5" spans="1:2" x14ac:dyDescent="0.35">
      <c r="A5" s="18">
        <v>2014</v>
      </c>
      <c r="B5">
        <v>0.15836000000000006</v>
      </c>
    </row>
    <row r="6" spans="1:2" x14ac:dyDescent="0.35">
      <c r="A6" s="18">
        <v>2015</v>
      </c>
      <c r="B6">
        <v>0.17890000000000006</v>
      </c>
    </row>
    <row r="7" spans="1:2" x14ac:dyDescent="0.35">
      <c r="A7" s="18">
        <v>2016</v>
      </c>
      <c r="B7">
        <v>0.1713008937437932</v>
      </c>
    </row>
    <row r="8" spans="1:2" x14ac:dyDescent="0.35">
      <c r="A8" s="18">
        <v>2017</v>
      </c>
      <c r="B8">
        <v>0.14870067698259182</v>
      </c>
    </row>
    <row r="9" spans="1:2" x14ac:dyDescent="0.35">
      <c r="A9" s="18">
        <v>2018</v>
      </c>
      <c r="B9">
        <v>0.15497507082152984</v>
      </c>
    </row>
    <row r="10" spans="1:2" x14ac:dyDescent="0.35">
      <c r="A10" s="18">
        <v>2019</v>
      </c>
      <c r="B10">
        <v>0.17796558441558474</v>
      </c>
    </row>
    <row r="11" spans="1:2" x14ac:dyDescent="0.35">
      <c r="A11" s="18">
        <v>2020</v>
      </c>
      <c r="B11">
        <v>0.1972047838086477</v>
      </c>
    </row>
    <row r="12" spans="1:2" x14ac:dyDescent="0.35">
      <c r="A12" s="18">
        <v>2021</v>
      </c>
      <c r="B12">
        <v>0.18196639784946256</v>
      </c>
    </row>
    <row r="13" spans="1:2" x14ac:dyDescent="0.35">
      <c r="A13" s="18">
        <v>2022</v>
      </c>
      <c r="B13">
        <v>0.1158165981922763</v>
      </c>
    </row>
    <row r="14" spans="1:2" x14ac:dyDescent="0.35">
      <c r="A14" s="18">
        <v>2023</v>
      </c>
      <c r="B14">
        <v>0.2035773889880792</v>
      </c>
    </row>
    <row r="15" spans="1:2" x14ac:dyDescent="0.35">
      <c r="A15" s="18">
        <v>2024</v>
      </c>
      <c r="B15">
        <v>0.22458246189572884</v>
      </c>
    </row>
    <row r="16" spans="1:2" x14ac:dyDescent="0.35">
      <c r="A16" s="18">
        <v>2025</v>
      </c>
      <c r="B16">
        <v>0.22249616439893671</v>
      </c>
    </row>
    <row r="17" spans="1:2" x14ac:dyDescent="0.35">
      <c r="A17" s="18">
        <v>2026</v>
      </c>
      <c r="B17" s="19">
        <v>0.16956404558075533</v>
      </c>
    </row>
    <row r="18" spans="1:2" x14ac:dyDescent="0.35">
      <c r="A18" s="18"/>
      <c r="B18" s="19"/>
    </row>
    <row r="19" spans="1:2" x14ac:dyDescent="0.35">
      <c r="A19" s="18"/>
      <c r="B19" s="19"/>
    </row>
    <row r="20" spans="1:2" x14ac:dyDescent="0.35">
      <c r="A20" s="18"/>
      <c r="B20" s="19"/>
    </row>
    <row r="21" spans="1:2" x14ac:dyDescent="0.35">
      <c r="A21" s="18"/>
      <c r="B21" s="19"/>
    </row>
    <row r="22" spans="1:2" x14ac:dyDescent="0.35">
      <c r="A22" s="18"/>
      <c r="B22" s="19"/>
    </row>
    <row r="23" spans="1:2" x14ac:dyDescent="0.35">
      <c r="A23" s="18"/>
      <c r="B23" s="19"/>
    </row>
    <row r="24" spans="1:2" x14ac:dyDescent="0.35">
      <c r="A24" s="18"/>
      <c r="B24" s="19"/>
    </row>
    <row r="25" spans="1:2" x14ac:dyDescent="0.35">
      <c r="A25" s="18"/>
      <c r="B25" s="19"/>
    </row>
    <row r="26" spans="1:2" x14ac:dyDescent="0.35">
      <c r="A26" s="18"/>
      <c r="B26" s="19"/>
    </row>
    <row r="27" spans="1:2" x14ac:dyDescent="0.35">
      <c r="A27" s="18"/>
      <c r="B27" s="19"/>
    </row>
    <row r="28" spans="1:2" x14ac:dyDescent="0.35">
      <c r="A28" s="18"/>
      <c r="B28" s="19"/>
    </row>
    <row r="29" spans="1:2" x14ac:dyDescent="0.35">
      <c r="A29" s="18"/>
      <c r="B29" s="19"/>
    </row>
    <row r="30" spans="1:2" x14ac:dyDescent="0.35">
      <c r="A30" s="18"/>
      <c r="B30" s="19"/>
    </row>
    <row r="31" spans="1:2" x14ac:dyDescent="0.35">
      <c r="A31" s="18"/>
      <c r="B31" s="19"/>
    </row>
    <row r="32" spans="1:2" x14ac:dyDescent="0.35">
      <c r="A32" s="18"/>
      <c r="B32" s="19"/>
    </row>
    <row r="33" spans="1:2" x14ac:dyDescent="0.35">
      <c r="A33" s="18"/>
      <c r="B33" s="19"/>
    </row>
    <row r="34" spans="1:2" x14ac:dyDescent="0.35">
      <c r="A34" s="18"/>
      <c r="B34" s="19"/>
    </row>
    <row r="35" spans="1:2" x14ac:dyDescent="0.35">
      <c r="A35" s="18"/>
      <c r="B35" s="19"/>
    </row>
    <row r="36" spans="1:2" x14ac:dyDescent="0.35">
      <c r="A36" s="18"/>
      <c r="B36" s="19"/>
    </row>
    <row r="37" spans="1:2" x14ac:dyDescent="0.35">
      <c r="A37" s="18"/>
      <c r="B37" s="19"/>
    </row>
    <row r="38" spans="1:2" x14ac:dyDescent="0.35">
      <c r="B38"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9E94E-195D-449C-95FA-8827E1CD938F}">
  <dimension ref="A1:B14"/>
  <sheetViews>
    <sheetView workbookViewId="0"/>
  </sheetViews>
  <sheetFormatPr defaultColWidth="8.81640625" defaultRowHeight="14.5" x14ac:dyDescent="0.35"/>
  <sheetData>
    <row r="1" spans="1:2" x14ac:dyDescent="0.35">
      <c r="A1" t="s">
        <v>0</v>
      </c>
      <c r="B1" t="s">
        <v>1</v>
      </c>
    </row>
    <row r="2" spans="1:2" x14ac:dyDescent="0.35">
      <c r="A2">
        <v>2010</v>
      </c>
      <c r="B2">
        <v>9.0451221008231997</v>
      </c>
    </row>
    <row r="3" spans="1:2" x14ac:dyDescent="0.35">
      <c r="A3">
        <v>2011</v>
      </c>
      <c r="B3" s="7">
        <v>9.1220556745181991</v>
      </c>
    </row>
    <row r="4" spans="1:2" x14ac:dyDescent="0.35">
      <c r="A4">
        <v>2012</v>
      </c>
      <c r="B4" s="7">
        <v>8.9177939646201878</v>
      </c>
    </row>
    <row r="5" spans="1:2" x14ac:dyDescent="0.35">
      <c r="A5">
        <v>2013</v>
      </c>
      <c r="B5" s="7">
        <v>8.7106598984771573</v>
      </c>
    </row>
    <row r="6" spans="1:2" x14ac:dyDescent="0.35">
      <c r="A6">
        <v>2014</v>
      </c>
      <c r="B6" s="7">
        <v>8.58</v>
      </c>
    </row>
    <row r="7" spans="1:2" x14ac:dyDescent="0.35">
      <c r="A7">
        <v>2015</v>
      </c>
      <c r="B7" s="7">
        <v>8.7899999999999991</v>
      </c>
    </row>
    <row r="8" spans="1:2" x14ac:dyDescent="0.35">
      <c r="A8">
        <v>2016</v>
      </c>
      <c r="B8" s="7">
        <v>9.1360476663356494</v>
      </c>
    </row>
    <row r="9" spans="1:2" x14ac:dyDescent="0.35">
      <c r="A9">
        <v>2017</v>
      </c>
      <c r="B9" s="7">
        <v>9.2263056092843314</v>
      </c>
    </row>
    <row r="10" spans="1:2" x14ac:dyDescent="0.35">
      <c r="A10">
        <v>2018</v>
      </c>
      <c r="B10" s="7">
        <v>9.3767705382436262</v>
      </c>
    </row>
    <row r="11" spans="1:2" x14ac:dyDescent="0.35">
      <c r="A11">
        <v>2019</v>
      </c>
      <c r="B11" s="7">
        <v>9.6103896103896105</v>
      </c>
    </row>
    <row r="12" spans="1:2" x14ac:dyDescent="0.35">
      <c r="A12">
        <v>2020</v>
      </c>
      <c r="B12" s="7">
        <v>9.9724011039558409</v>
      </c>
    </row>
    <row r="13" spans="1:2" x14ac:dyDescent="0.35">
      <c r="A13">
        <v>2021</v>
      </c>
      <c r="B13" s="7">
        <v>9.9283154121863806</v>
      </c>
    </row>
    <row r="14" spans="1:2" x14ac:dyDescent="0.35">
      <c r="A14">
        <v>2022</v>
      </c>
      <c r="B14" s="7">
        <v>10.012761014679809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02A57-6E8F-437B-A065-F671930F4B98}">
  <dimension ref="A1:B49"/>
  <sheetViews>
    <sheetView workbookViewId="0"/>
  </sheetViews>
  <sheetFormatPr defaultColWidth="8.81640625" defaultRowHeight="14.5" x14ac:dyDescent="0.35"/>
  <sheetData>
    <row r="1" spans="1:2" x14ac:dyDescent="0.35">
      <c r="A1" t="s">
        <v>0</v>
      </c>
      <c r="B1" t="s">
        <v>1</v>
      </c>
    </row>
    <row r="2" spans="1:2" x14ac:dyDescent="0.35">
      <c r="A2">
        <v>1979</v>
      </c>
      <c r="B2" s="17">
        <v>4.5499999999999999E-2</v>
      </c>
    </row>
    <row r="3" spans="1:2" x14ac:dyDescent="0.35">
      <c r="A3">
        <v>1980</v>
      </c>
      <c r="B3" s="17">
        <v>0.10152954545454547</v>
      </c>
    </row>
    <row r="4" spans="1:2" x14ac:dyDescent="0.35">
      <c r="A4">
        <v>1981</v>
      </c>
      <c r="B4" s="17">
        <v>-0.10243409090909092</v>
      </c>
    </row>
    <row r="5" spans="1:2" x14ac:dyDescent="0.35">
      <c r="A5">
        <v>1982</v>
      </c>
      <c r="B5" s="17">
        <v>6.9688636363636369E-2</v>
      </c>
    </row>
    <row r="6" spans="1:2" x14ac:dyDescent="0.35">
      <c r="A6">
        <v>1983</v>
      </c>
      <c r="B6" s="17">
        <v>0.19185909090909092</v>
      </c>
    </row>
    <row r="7" spans="1:2" x14ac:dyDescent="0.35">
      <c r="A7">
        <v>1984</v>
      </c>
      <c r="B7" s="17">
        <v>3.7977272727272721E-2</v>
      </c>
    </row>
    <row r="8" spans="1:2" x14ac:dyDescent="0.35">
      <c r="A8">
        <v>1985</v>
      </c>
      <c r="B8" s="17">
        <v>0.31389545454545453</v>
      </c>
    </row>
    <row r="9" spans="1:2" x14ac:dyDescent="0.35">
      <c r="A9">
        <v>1986</v>
      </c>
      <c r="B9" s="17">
        <v>0.34989772727272728</v>
      </c>
    </row>
    <row r="10" spans="1:2" x14ac:dyDescent="0.35">
      <c r="A10">
        <v>1987</v>
      </c>
      <c r="B10" s="17">
        <v>0.11600454545454544</v>
      </c>
    </row>
    <row r="11" spans="1:2" x14ac:dyDescent="0.35">
      <c r="A11">
        <v>1988</v>
      </c>
      <c r="B11" s="17">
        <v>0.16421136363636366</v>
      </c>
    </row>
    <row r="12" spans="1:2" x14ac:dyDescent="0.35">
      <c r="A12">
        <v>1989</v>
      </c>
      <c r="B12" s="17">
        <v>0.11412954545454547</v>
      </c>
    </row>
    <row r="13" spans="1:2" x14ac:dyDescent="0.35">
      <c r="A13">
        <v>1990</v>
      </c>
      <c r="B13" s="17">
        <v>-0.18080454545454544</v>
      </c>
    </row>
    <row r="14" spans="1:2" x14ac:dyDescent="0.35">
      <c r="A14">
        <v>1991</v>
      </c>
      <c r="B14" s="17">
        <v>0.13510454545454548</v>
      </c>
    </row>
    <row r="15" spans="1:2" x14ac:dyDescent="0.35">
      <c r="A15">
        <v>1992</v>
      </c>
      <c r="B15" s="17">
        <v>-3.4113636363636374E-2</v>
      </c>
    </row>
    <row r="16" spans="1:2" x14ac:dyDescent="0.35">
      <c r="A16">
        <v>1993</v>
      </c>
      <c r="B16" s="17">
        <v>0.19292500000000001</v>
      </c>
    </row>
    <row r="17" spans="1:2" x14ac:dyDescent="0.35">
      <c r="A17">
        <v>1994</v>
      </c>
      <c r="B17" s="17">
        <v>2.2761363636363635E-2</v>
      </c>
    </row>
    <row r="18" spans="1:2" x14ac:dyDescent="0.35">
      <c r="A18">
        <v>1995</v>
      </c>
      <c r="B18" s="17">
        <v>0.16434545454545457</v>
      </c>
    </row>
    <row r="19" spans="1:2" x14ac:dyDescent="0.35">
      <c r="A19">
        <v>1996</v>
      </c>
      <c r="B19" s="17">
        <v>0.10430454545454547</v>
      </c>
    </row>
    <row r="20" spans="1:2" x14ac:dyDescent="0.35">
      <c r="A20">
        <v>1997</v>
      </c>
      <c r="B20" s="17">
        <v>0.13836590909090909</v>
      </c>
    </row>
    <row r="21" spans="1:2" x14ac:dyDescent="0.35">
      <c r="A21">
        <v>1998</v>
      </c>
      <c r="B21" s="17">
        <v>0.20838863636363633</v>
      </c>
    </row>
    <row r="22" spans="1:2" x14ac:dyDescent="0.35">
      <c r="A22">
        <v>1999</v>
      </c>
      <c r="B22" s="17">
        <v>0.20487045454545452</v>
      </c>
    </row>
    <row r="23" spans="1:2" x14ac:dyDescent="0.35">
      <c r="A23">
        <v>2000</v>
      </c>
      <c r="B23" s="17">
        <v>-0.1244</v>
      </c>
    </row>
    <row r="24" spans="1:2" x14ac:dyDescent="0.35">
      <c r="A24">
        <v>2001</v>
      </c>
      <c r="B24" s="17">
        <v>-0.15010454545454546</v>
      </c>
    </row>
    <row r="25" spans="1:2" x14ac:dyDescent="0.35">
      <c r="A25">
        <v>2002</v>
      </c>
      <c r="B25" s="17">
        <v>-0.17414545454545455</v>
      </c>
    </row>
    <row r="26" spans="1:2" x14ac:dyDescent="0.35">
      <c r="A26">
        <v>2003</v>
      </c>
      <c r="B26" s="17">
        <v>0.2656</v>
      </c>
    </row>
    <row r="27" spans="1:2" x14ac:dyDescent="0.35">
      <c r="A27">
        <v>2004</v>
      </c>
      <c r="B27" s="17">
        <v>0.10726818181818182</v>
      </c>
    </row>
    <row r="28" spans="1:2" x14ac:dyDescent="0.35">
      <c r="A28">
        <v>2005</v>
      </c>
      <c r="B28" s="17">
        <v>7.2400000000000006E-2</v>
      </c>
    </row>
    <row r="29" spans="1:2" x14ac:dyDescent="0.35">
      <c r="A29">
        <v>2006</v>
      </c>
      <c r="B29" s="17">
        <v>0.14644545454545455</v>
      </c>
    </row>
    <row r="30" spans="1:2" x14ac:dyDescent="0.35">
      <c r="A30">
        <v>2007</v>
      </c>
      <c r="B30" s="17">
        <v>5.2468181818181824E-2</v>
      </c>
    </row>
    <row r="31" spans="1:2" x14ac:dyDescent="0.35">
      <c r="A31">
        <v>2008</v>
      </c>
      <c r="B31" s="17">
        <v>-0.35867727272727273</v>
      </c>
    </row>
    <row r="32" spans="1:2" x14ac:dyDescent="0.35">
      <c r="A32">
        <v>2009</v>
      </c>
      <c r="B32" s="17">
        <v>0.28060681818181821</v>
      </c>
    </row>
    <row r="33" spans="1:2" x14ac:dyDescent="0.35">
      <c r="A33">
        <v>2010</v>
      </c>
      <c r="B33" s="17">
        <v>9.6518181818181836E-2</v>
      </c>
    </row>
    <row r="34" spans="1:2" x14ac:dyDescent="0.35">
      <c r="A34">
        <v>2011</v>
      </c>
      <c r="B34" s="17">
        <v>-6.4613636363636373E-2</v>
      </c>
    </row>
    <row r="35" spans="1:2" x14ac:dyDescent="0.35">
      <c r="A35">
        <v>2012</v>
      </c>
      <c r="B35" s="17">
        <v>0.13242500000000001</v>
      </c>
    </row>
    <row r="36" spans="1:2" x14ac:dyDescent="0.35">
      <c r="A36">
        <v>2013</v>
      </c>
      <c r="B36" s="17">
        <v>0.20899090909090912</v>
      </c>
    </row>
    <row r="37" spans="1:2" x14ac:dyDescent="0.35">
      <c r="A37">
        <v>2014</v>
      </c>
      <c r="B37" s="17">
        <v>3.2647727272727273E-2</v>
      </c>
    </row>
    <row r="38" spans="1:2" x14ac:dyDescent="0.35">
      <c r="A38">
        <v>2015</v>
      </c>
      <c r="B38" s="17">
        <v>7.6454545454545456E-3</v>
      </c>
    </row>
    <row r="39" spans="1:2" x14ac:dyDescent="0.35">
      <c r="A39">
        <v>2016</v>
      </c>
      <c r="B39" s="17">
        <v>7.218181818181818E-2</v>
      </c>
    </row>
    <row r="40" spans="1:2" x14ac:dyDescent="0.35">
      <c r="A40">
        <v>2017</v>
      </c>
      <c r="B40" s="17">
        <v>0.16886136363636364</v>
      </c>
    </row>
    <row r="41" spans="1:2" x14ac:dyDescent="0.35">
      <c r="A41">
        <v>2018</v>
      </c>
      <c r="B41" s="17">
        <v>-9.4540909090909106E-2</v>
      </c>
    </row>
    <row r="42" spans="1:2" x14ac:dyDescent="0.35">
      <c r="A42">
        <v>2019</v>
      </c>
      <c r="B42" s="17">
        <v>0.22949545454545453</v>
      </c>
    </row>
    <row r="43" spans="1:2" x14ac:dyDescent="0.35">
      <c r="A43">
        <v>2020</v>
      </c>
      <c r="B43" s="17">
        <v>0.12359090909090907</v>
      </c>
    </row>
    <row r="44" spans="1:2" x14ac:dyDescent="0.35">
      <c r="A44">
        <v>2021</v>
      </c>
      <c r="B44" s="17">
        <v>0.13584772727272729</v>
      </c>
    </row>
    <row r="45" spans="1:2" x14ac:dyDescent="0.35">
      <c r="A45">
        <v>2022</v>
      </c>
      <c r="B45" s="17">
        <v>-0.23444090909090906</v>
      </c>
    </row>
    <row r="46" spans="1:2" x14ac:dyDescent="0.35">
      <c r="A46">
        <v>2023</v>
      </c>
      <c r="B46" s="17">
        <v>0.152475</v>
      </c>
    </row>
    <row r="47" spans="1:2" x14ac:dyDescent="0.35">
      <c r="A47">
        <v>2024</v>
      </c>
      <c r="B47" s="17">
        <v>0.12642954545454546</v>
      </c>
    </row>
    <row r="48" spans="1:2" x14ac:dyDescent="0.35">
      <c r="A48">
        <v>2025</v>
      </c>
      <c r="B48" s="17">
        <v>0.15085681818181818</v>
      </c>
    </row>
    <row r="49" spans="1:2" x14ac:dyDescent="0.35">
      <c r="A49">
        <v>2026</v>
      </c>
      <c r="B49" s="17">
        <v>4.5499999999999999E-2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30CCD-32B9-4CEC-8146-EA5CD92B507B}">
  <dimension ref="A1:B38"/>
  <sheetViews>
    <sheetView workbookViewId="0">
      <selection activeCell="L12" sqref="L12"/>
    </sheetView>
  </sheetViews>
  <sheetFormatPr defaultColWidth="8.81640625" defaultRowHeight="14.5" x14ac:dyDescent="0.35"/>
  <sheetData>
    <row r="1" spans="1:2" x14ac:dyDescent="0.35">
      <c r="A1" s="18" t="s">
        <v>0</v>
      </c>
      <c r="B1" s="18" t="s">
        <v>1</v>
      </c>
    </row>
    <row r="2" spans="1:2" x14ac:dyDescent="0.35">
      <c r="A2" s="18">
        <v>2011</v>
      </c>
      <c r="B2" s="19">
        <v>-5.6705567451820094E-2</v>
      </c>
    </row>
    <row r="3" spans="1:2" x14ac:dyDescent="0.35">
      <c r="A3" s="18">
        <v>2012</v>
      </c>
      <c r="B3" s="19">
        <v>-2.4208116545265113E-2</v>
      </c>
    </row>
    <row r="4" spans="1:2" x14ac:dyDescent="0.35">
      <c r="A4" s="18">
        <v>2013</v>
      </c>
      <c r="B4" s="19">
        <v>7.0832487309657743E-4</v>
      </c>
    </row>
    <row r="5" spans="1:2" x14ac:dyDescent="0.35">
      <c r="A5" s="18">
        <v>2014</v>
      </c>
      <c r="B5" s="19">
        <v>6.4095500000000083E-2</v>
      </c>
    </row>
    <row r="6" spans="1:2" x14ac:dyDescent="0.35">
      <c r="A6" s="18">
        <v>2015</v>
      </c>
      <c r="B6" s="19">
        <v>5.9499999999999886E-2</v>
      </c>
    </row>
    <row r="7" spans="1:2" x14ac:dyDescent="0.35">
      <c r="A7" s="18">
        <v>2016</v>
      </c>
      <c r="B7" s="19">
        <v>6.246276067527301E-2</v>
      </c>
    </row>
    <row r="8" spans="1:2" x14ac:dyDescent="0.35">
      <c r="A8" s="18">
        <v>2017</v>
      </c>
      <c r="B8" s="19">
        <v>1.8394487427466188E-2</v>
      </c>
    </row>
    <row r="9" spans="1:2" x14ac:dyDescent="0.35">
      <c r="A9" s="18">
        <v>2018</v>
      </c>
      <c r="B9" s="19">
        <v>7.0515580736545402E-3</v>
      </c>
    </row>
    <row r="10" spans="1:2" x14ac:dyDescent="0.35">
      <c r="A10" s="18">
        <v>2019</v>
      </c>
      <c r="B10" s="19">
        <v>-7.899721706864371E-3</v>
      </c>
    </row>
    <row r="11" spans="1:2" x14ac:dyDescent="0.35">
      <c r="A11" s="18">
        <v>2020</v>
      </c>
      <c r="B11" s="19">
        <v>2.0182704691812381E-2</v>
      </c>
    </row>
    <row r="12" spans="1:2" x14ac:dyDescent="0.35">
      <c r="A12" s="18">
        <v>2021</v>
      </c>
      <c r="B12" s="19">
        <v>5.3299103942652248E-2</v>
      </c>
    </row>
    <row r="13" spans="1:2" x14ac:dyDescent="0.35">
      <c r="A13" s="18">
        <v>2022</v>
      </c>
      <c r="B13" s="19">
        <v>2.1074774034510746E-3</v>
      </c>
    </row>
    <row r="14" spans="1:2" x14ac:dyDescent="0.35">
      <c r="A14" s="18">
        <v>2023</v>
      </c>
      <c r="B14" s="19">
        <v>-2.033489798924859E-2</v>
      </c>
    </row>
    <row r="15" spans="1:2" x14ac:dyDescent="0.35">
      <c r="A15" s="18">
        <v>2024</v>
      </c>
      <c r="B15" s="19">
        <v>-1.0240669253460122E-2</v>
      </c>
    </row>
    <row r="16" spans="1:2" x14ac:dyDescent="0.35">
      <c r="A16" s="18">
        <v>2025</v>
      </c>
      <c r="B16" s="19">
        <v>7.1249989741419828E-3</v>
      </c>
    </row>
    <row r="17" spans="1:2" x14ac:dyDescent="0.35">
      <c r="A17" s="18">
        <v>2026</v>
      </c>
      <c r="B17" s="19">
        <v>1.1702529540992646E-2</v>
      </c>
    </row>
    <row r="18" spans="1:2" x14ac:dyDescent="0.35">
      <c r="A18" s="18"/>
      <c r="B18" s="19"/>
    </row>
    <row r="19" spans="1:2" x14ac:dyDescent="0.35">
      <c r="A19" s="18"/>
      <c r="B19" s="19"/>
    </row>
    <row r="20" spans="1:2" x14ac:dyDescent="0.35">
      <c r="A20" s="18"/>
      <c r="B20" s="19"/>
    </row>
    <row r="21" spans="1:2" x14ac:dyDescent="0.35">
      <c r="A21" s="18"/>
      <c r="B21" s="19"/>
    </row>
    <row r="22" spans="1:2" x14ac:dyDescent="0.35">
      <c r="A22" s="18"/>
      <c r="B22" s="19"/>
    </row>
    <row r="23" spans="1:2" x14ac:dyDescent="0.35">
      <c r="A23" s="18"/>
      <c r="B23" s="19"/>
    </row>
    <row r="24" spans="1:2" x14ac:dyDescent="0.35">
      <c r="A24" s="18"/>
      <c r="B24" s="19"/>
    </row>
    <row r="25" spans="1:2" x14ac:dyDescent="0.35">
      <c r="A25" s="18"/>
      <c r="B25" s="19"/>
    </row>
    <row r="26" spans="1:2" x14ac:dyDescent="0.35">
      <c r="A26" s="18"/>
      <c r="B26" s="19"/>
    </row>
    <row r="27" spans="1:2" x14ac:dyDescent="0.35">
      <c r="A27" s="18"/>
      <c r="B27" s="19"/>
    </row>
    <row r="28" spans="1:2" x14ac:dyDescent="0.35">
      <c r="A28" s="18"/>
      <c r="B28" s="19"/>
    </row>
    <row r="29" spans="1:2" x14ac:dyDescent="0.35">
      <c r="A29" s="18"/>
      <c r="B29" s="19"/>
    </row>
    <row r="30" spans="1:2" x14ac:dyDescent="0.35">
      <c r="A30" s="18"/>
      <c r="B30" s="19"/>
    </row>
    <row r="31" spans="1:2" x14ac:dyDescent="0.35">
      <c r="A31" s="18"/>
      <c r="B31" s="19"/>
    </row>
    <row r="32" spans="1:2" x14ac:dyDescent="0.35">
      <c r="A32" s="18"/>
      <c r="B32" s="19"/>
    </row>
    <row r="33" spans="1:2" x14ac:dyDescent="0.35">
      <c r="A33" s="18"/>
      <c r="B33" s="19"/>
    </row>
    <row r="34" spans="1:2" x14ac:dyDescent="0.35">
      <c r="A34" s="18"/>
      <c r="B34" s="19"/>
    </row>
    <row r="35" spans="1:2" x14ac:dyDescent="0.35">
      <c r="A35" s="18"/>
      <c r="B35" s="19"/>
    </row>
    <row r="36" spans="1:2" x14ac:dyDescent="0.35">
      <c r="A36" s="18"/>
      <c r="B36" s="19"/>
    </row>
    <row r="37" spans="1:2" x14ac:dyDescent="0.35">
      <c r="A37" s="18"/>
      <c r="B37" s="19"/>
    </row>
    <row r="38" spans="1:2" x14ac:dyDescent="0.35">
      <c r="B38" s="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51293-4348-4E5E-B524-B4D008AFD82A}">
  <dimension ref="A1:B38"/>
  <sheetViews>
    <sheetView workbookViewId="0"/>
  </sheetViews>
  <sheetFormatPr defaultColWidth="8.81640625" defaultRowHeight="14.5" x14ac:dyDescent="0.35"/>
  <sheetData>
    <row r="1" spans="1:2" x14ac:dyDescent="0.35">
      <c r="A1" s="18" t="s">
        <v>91</v>
      </c>
      <c r="B1" s="18" t="s">
        <v>1</v>
      </c>
    </row>
    <row r="2" spans="1:2" x14ac:dyDescent="0.35">
      <c r="A2" s="18">
        <v>2011</v>
      </c>
      <c r="B2">
        <v>-1.0761241970021374E-2</v>
      </c>
    </row>
    <row r="3" spans="1:2" x14ac:dyDescent="0.35">
      <c r="A3" s="18">
        <v>2012</v>
      </c>
      <c r="B3">
        <v>3.0052029136318215E-3</v>
      </c>
    </row>
    <row r="4" spans="1:2" x14ac:dyDescent="0.35">
      <c r="A4" s="18">
        <v>2013</v>
      </c>
      <c r="B4">
        <v>7.7328934010152395E-3</v>
      </c>
    </row>
    <row r="5" spans="1:2" x14ac:dyDescent="0.35">
      <c r="A5" s="18">
        <v>2014</v>
      </c>
      <c r="B5">
        <v>1.652000000000009E-2</v>
      </c>
    </row>
    <row r="6" spans="1:2" x14ac:dyDescent="0.35">
      <c r="A6" s="18">
        <v>2015</v>
      </c>
      <c r="B6">
        <v>3.0799999999999939E-2</v>
      </c>
    </row>
    <row r="7" spans="1:2" x14ac:dyDescent="0.35">
      <c r="A7" s="18">
        <v>2016</v>
      </c>
      <c r="B7">
        <v>2.125124131082412E-2</v>
      </c>
    </row>
    <row r="8" spans="1:2" x14ac:dyDescent="0.35">
      <c r="A8" s="18">
        <v>2017</v>
      </c>
      <c r="B8">
        <v>-9.8588007736943872E-4</v>
      </c>
    </row>
    <row r="9" spans="1:2" x14ac:dyDescent="0.35">
      <c r="A9" s="18">
        <v>2018</v>
      </c>
      <c r="B9">
        <v>8.0264400377694223E-4</v>
      </c>
    </row>
    <row r="10" spans="1:2" x14ac:dyDescent="0.35">
      <c r="A10" s="18">
        <v>2019</v>
      </c>
      <c r="B10">
        <v>6.3447124304267799E-3</v>
      </c>
    </row>
    <row r="11" spans="1:2" x14ac:dyDescent="0.35">
      <c r="A11" s="18">
        <v>2020</v>
      </c>
      <c r="B11">
        <v>1.3538178472861206E-2</v>
      </c>
    </row>
    <row r="12" spans="1:2" x14ac:dyDescent="0.35">
      <c r="A12" s="18">
        <v>2021</v>
      </c>
      <c r="B12">
        <v>-5.9209677419354012E-3</v>
      </c>
    </row>
    <row r="13" spans="1:2" x14ac:dyDescent="0.35">
      <c r="A13" s="18">
        <v>2022</v>
      </c>
      <c r="B13">
        <v>-6.2541659819227657E-2</v>
      </c>
    </row>
    <row r="14" spans="1:2" x14ac:dyDescent="0.35">
      <c r="A14" s="18">
        <v>2023</v>
      </c>
      <c r="B14">
        <v>5.8468179400377185E-3</v>
      </c>
    </row>
    <row r="15" spans="1:2" x14ac:dyDescent="0.35">
      <c r="A15" s="18">
        <v>2024</v>
      </c>
      <c r="B15">
        <v>1.9468834561812143E-2</v>
      </c>
    </row>
    <row r="16" spans="1:2" x14ac:dyDescent="0.35">
      <c r="A16" s="18">
        <v>2025</v>
      </c>
      <c r="B16">
        <v>1.8501617912792367E-2</v>
      </c>
    </row>
    <row r="17" spans="1:2" x14ac:dyDescent="0.35">
      <c r="A17" s="18">
        <v>2026</v>
      </c>
      <c r="B17" s="19">
        <v>4.2401595559082997E-3</v>
      </c>
    </row>
    <row r="18" spans="1:2" x14ac:dyDescent="0.35">
      <c r="A18" s="18"/>
      <c r="B18" s="19"/>
    </row>
    <row r="19" spans="1:2" x14ac:dyDescent="0.35">
      <c r="A19" s="18"/>
      <c r="B19" s="19"/>
    </row>
    <row r="20" spans="1:2" x14ac:dyDescent="0.35">
      <c r="A20" s="18"/>
      <c r="B20" s="19"/>
    </row>
    <row r="21" spans="1:2" x14ac:dyDescent="0.35">
      <c r="A21" s="18"/>
      <c r="B21" s="19"/>
    </row>
    <row r="22" spans="1:2" x14ac:dyDescent="0.35">
      <c r="A22" s="18"/>
      <c r="B22" s="19"/>
    </row>
    <row r="23" spans="1:2" x14ac:dyDescent="0.35">
      <c r="A23" s="18"/>
      <c r="B23" s="19"/>
    </row>
    <row r="24" spans="1:2" x14ac:dyDescent="0.35">
      <c r="A24" s="18"/>
      <c r="B24" s="19"/>
    </row>
    <row r="25" spans="1:2" x14ac:dyDescent="0.35">
      <c r="A25" s="18"/>
      <c r="B25" s="19"/>
    </row>
    <row r="26" spans="1:2" x14ac:dyDescent="0.35">
      <c r="A26" s="18"/>
      <c r="B26" s="19"/>
    </row>
    <row r="27" spans="1:2" x14ac:dyDescent="0.35">
      <c r="A27" s="18"/>
      <c r="B27" s="19"/>
    </row>
    <row r="28" spans="1:2" x14ac:dyDescent="0.35">
      <c r="A28" s="18"/>
      <c r="B28" s="19"/>
    </row>
    <row r="29" spans="1:2" x14ac:dyDescent="0.35">
      <c r="A29" s="18"/>
      <c r="B29" s="19"/>
    </row>
    <row r="30" spans="1:2" x14ac:dyDescent="0.35">
      <c r="A30" s="18"/>
      <c r="B30" s="19"/>
    </row>
    <row r="31" spans="1:2" x14ac:dyDescent="0.35">
      <c r="A31" s="18"/>
      <c r="B31" s="19"/>
    </row>
    <row r="32" spans="1:2" x14ac:dyDescent="0.35">
      <c r="A32" s="18"/>
      <c r="B32" s="19"/>
    </row>
    <row r="33" spans="1:2" x14ac:dyDescent="0.35">
      <c r="A33" s="18"/>
      <c r="B33" s="19"/>
    </row>
    <row r="34" spans="1:2" x14ac:dyDescent="0.35">
      <c r="A34" s="18"/>
      <c r="B34" s="19"/>
    </row>
    <row r="35" spans="1:2" x14ac:dyDescent="0.35">
      <c r="A35" s="18"/>
      <c r="B35" s="19"/>
    </row>
    <row r="36" spans="1:2" x14ac:dyDescent="0.35">
      <c r="A36" s="18"/>
      <c r="B36" s="19"/>
    </row>
    <row r="37" spans="1:2" x14ac:dyDescent="0.35">
      <c r="A37" s="18"/>
      <c r="B37" s="19"/>
    </row>
    <row r="38" spans="1:2" x14ac:dyDescent="0.35">
      <c r="B38" s="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E4EE1-1BD6-4E11-9F6E-85D51F484400}">
  <dimension ref="A1:CN120"/>
  <sheetViews>
    <sheetView workbookViewId="0">
      <selection activeCell="V42" sqref="V42"/>
    </sheetView>
  </sheetViews>
  <sheetFormatPr defaultColWidth="8.81640625" defaultRowHeight="14.5" x14ac:dyDescent="0.35"/>
  <sheetData>
    <row r="1" spans="1:92" x14ac:dyDescent="0.35">
      <c r="A1" s="4" t="s">
        <v>4</v>
      </c>
      <c r="B1" s="4"/>
      <c r="C1" s="4"/>
      <c r="D1" s="4"/>
      <c r="E1" s="4"/>
      <c r="F1" s="4"/>
      <c r="K1" s="4" t="s">
        <v>5</v>
      </c>
      <c r="L1" s="4"/>
      <c r="M1" s="4"/>
      <c r="N1" s="4"/>
      <c r="O1" s="4"/>
      <c r="P1" s="4"/>
      <c r="Q1" s="4"/>
      <c r="S1" s="4" t="s">
        <v>6</v>
      </c>
      <c r="T1" s="4"/>
      <c r="U1" s="4"/>
      <c r="V1" s="4"/>
      <c r="W1" s="4"/>
      <c r="X1" s="4"/>
      <c r="Y1" s="4"/>
      <c r="Z1" s="4"/>
      <c r="AA1" s="4"/>
      <c r="AB1" s="4"/>
      <c r="AC1" s="4"/>
      <c r="AD1" s="4"/>
      <c r="AE1" s="4"/>
      <c r="AF1" s="4"/>
      <c r="AH1" s="4" t="s">
        <v>70</v>
      </c>
      <c r="AI1" s="4"/>
      <c r="AJ1" s="4"/>
      <c r="AL1" s="4" t="s">
        <v>76</v>
      </c>
      <c r="AM1" s="4"/>
      <c r="AN1" s="4"/>
      <c r="AP1" s="4" t="s">
        <v>82</v>
      </c>
      <c r="AQ1" s="4"/>
      <c r="AS1" s="4" t="s">
        <v>7</v>
      </c>
      <c r="AT1" s="4"/>
      <c r="AU1" s="4"/>
      <c r="AW1" s="4" t="s">
        <v>37</v>
      </c>
      <c r="AX1" s="4"/>
      <c r="AY1" s="4"/>
      <c r="AZ1" s="4"/>
      <c r="BA1" s="4"/>
      <c r="BC1" s="4" t="s">
        <v>8</v>
      </c>
      <c r="BD1" s="4"/>
      <c r="BE1" s="4"/>
      <c r="BF1" s="4"/>
      <c r="BG1" s="4"/>
      <c r="BH1" s="4"/>
      <c r="BI1" s="4"/>
      <c r="BJ1" s="4"/>
      <c r="BL1" s="4" t="s">
        <v>45</v>
      </c>
      <c r="BM1" s="4"/>
      <c r="BN1" s="4"/>
      <c r="BO1" s="4"/>
      <c r="BQ1" s="4" t="s">
        <v>53</v>
      </c>
      <c r="BR1" s="4"/>
      <c r="BS1" s="4"/>
      <c r="BT1" s="4"/>
      <c r="BV1" s="4" t="s">
        <v>40</v>
      </c>
      <c r="BW1" s="4"/>
      <c r="BX1" s="4"/>
      <c r="BY1" s="4"/>
      <c r="CF1" t="s">
        <v>52</v>
      </c>
      <c r="CK1" t="s">
        <v>50</v>
      </c>
    </row>
    <row r="2" spans="1:92" ht="15" customHeight="1" x14ac:dyDescent="0.35">
      <c r="B2" t="s">
        <v>9</v>
      </c>
      <c r="C2" t="s">
        <v>10</v>
      </c>
      <c r="H2" t="s">
        <v>55</v>
      </c>
      <c r="I2" t="s">
        <v>58</v>
      </c>
      <c r="L2" t="s">
        <v>11</v>
      </c>
      <c r="M2" t="s">
        <v>36</v>
      </c>
      <c r="AC2" t="s">
        <v>60</v>
      </c>
      <c r="AD2" t="s">
        <v>62</v>
      </c>
      <c r="AE2" t="s">
        <v>66</v>
      </c>
      <c r="AF2" t="s">
        <v>64</v>
      </c>
      <c r="AI2" t="s">
        <v>73</v>
      </c>
      <c r="AJ2" t="s">
        <v>74</v>
      </c>
      <c r="AM2" t="s">
        <v>78</v>
      </c>
      <c r="AN2" t="s">
        <v>79</v>
      </c>
      <c r="AS2" t="s">
        <v>12</v>
      </c>
      <c r="BD2" t="s">
        <v>13</v>
      </c>
      <c r="BE2" t="s">
        <v>14</v>
      </c>
      <c r="BL2" t="s">
        <v>46</v>
      </c>
      <c r="BQ2" t="s">
        <v>24</v>
      </c>
      <c r="BS2" t="s">
        <v>31</v>
      </c>
      <c r="BT2" t="s">
        <v>32</v>
      </c>
      <c r="BV2" t="s">
        <v>2</v>
      </c>
      <c r="BW2" t="s">
        <v>41</v>
      </c>
      <c r="CF2" t="s">
        <v>83</v>
      </c>
      <c r="CG2" t="s">
        <v>84</v>
      </c>
      <c r="CH2" t="s">
        <v>85</v>
      </c>
      <c r="CI2" t="s">
        <v>86</v>
      </c>
    </row>
    <row r="3" spans="1:92" x14ac:dyDescent="0.35">
      <c r="B3" t="s">
        <v>15</v>
      </c>
      <c r="D3" t="s">
        <v>16</v>
      </c>
      <c r="E3" s="10" t="s">
        <v>48</v>
      </c>
      <c r="F3" s="10"/>
      <c r="H3" t="s">
        <v>54</v>
      </c>
      <c r="I3" t="s">
        <v>57</v>
      </c>
      <c r="N3" t="s">
        <v>16</v>
      </c>
      <c r="O3" t="s">
        <v>50</v>
      </c>
      <c r="P3" s="10" t="s">
        <v>48</v>
      </c>
      <c r="Q3" s="10"/>
      <c r="U3" t="s">
        <v>17</v>
      </c>
      <c r="V3" t="s">
        <v>18</v>
      </c>
      <c r="W3" t="s">
        <v>19</v>
      </c>
      <c r="X3" t="s">
        <v>20</v>
      </c>
      <c r="Y3" s="13" t="s">
        <v>21</v>
      </c>
      <c r="AC3" t="s">
        <v>61</v>
      </c>
      <c r="AD3" t="s">
        <v>63</v>
      </c>
      <c r="AE3" t="s">
        <v>67</v>
      </c>
      <c r="AF3" t="s">
        <v>65</v>
      </c>
      <c r="AI3" t="s">
        <v>71</v>
      </c>
      <c r="AJ3" t="s">
        <v>72</v>
      </c>
      <c r="AM3" t="s">
        <v>77</v>
      </c>
      <c r="AN3" t="s">
        <v>80</v>
      </c>
      <c r="AT3" t="s">
        <v>22</v>
      </c>
      <c r="AZ3" s="10" t="s">
        <v>48</v>
      </c>
      <c r="BA3" s="10"/>
      <c r="BD3" t="s">
        <v>23</v>
      </c>
      <c r="BE3" t="s">
        <v>23</v>
      </c>
      <c r="BH3" s="10" t="s">
        <v>48</v>
      </c>
      <c r="BI3" s="10"/>
      <c r="BJ3" s="10"/>
      <c r="BL3" t="s">
        <v>47</v>
      </c>
      <c r="BN3" s="10" t="s">
        <v>48</v>
      </c>
      <c r="BO3" s="10"/>
      <c r="BV3" t="s">
        <v>3</v>
      </c>
      <c r="BW3" t="s">
        <v>42</v>
      </c>
      <c r="CF3" t="s">
        <v>87</v>
      </c>
      <c r="CG3" t="s">
        <v>88</v>
      </c>
      <c r="CH3" t="s">
        <v>89</v>
      </c>
      <c r="CI3" t="s">
        <v>90</v>
      </c>
    </row>
    <row r="4" spans="1:92" s="14" customFormat="1" ht="12" customHeight="1" x14ac:dyDescent="0.35">
      <c r="A4" s="14" t="s">
        <v>33</v>
      </c>
      <c r="B4" s="14">
        <f>MIN(A15:A156)</f>
        <v>1988</v>
      </c>
      <c r="C4" s="14">
        <f>VLOOKUP(B4,$A$15:$D$193,4,FALSE)</f>
        <v>49.6</v>
      </c>
      <c r="E4" s="15"/>
      <c r="F4" s="15"/>
      <c r="H4" s="14" t="s">
        <v>56</v>
      </c>
      <c r="I4" s="14" t="s">
        <v>59</v>
      </c>
      <c r="M4" s="14" t="s">
        <v>33</v>
      </c>
      <c r="N4" s="14">
        <f>MIN(K8:K156)</f>
        <v>2001</v>
      </c>
      <c r="O4" s="14">
        <f>VLOOKUP(N4,$K$8:$O$193,5,FALSE)</f>
        <v>143.98221858016308</v>
      </c>
      <c r="P4" s="15"/>
      <c r="Q4" s="15"/>
      <c r="AC4" s="16" t="s">
        <v>69</v>
      </c>
      <c r="AE4" s="16" t="s">
        <v>68</v>
      </c>
      <c r="AI4" s="16" t="s">
        <v>75</v>
      </c>
      <c r="AM4" s="16" t="s">
        <v>81</v>
      </c>
      <c r="AX4" s="14" t="s">
        <v>52</v>
      </c>
      <c r="AY4" s="14" t="s">
        <v>50</v>
      </c>
      <c r="AZ4" s="15"/>
      <c r="BA4" s="15"/>
      <c r="BD4" s="14" t="s">
        <v>52</v>
      </c>
      <c r="BE4" s="14" t="s">
        <v>52</v>
      </c>
      <c r="BF4" s="14" t="s">
        <v>50</v>
      </c>
      <c r="BG4" s="14" t="s">
        <v>50</v>
      </c>
      <c r="BH4" s="15"/>
      <c r="BI4" s="15"/>
      <c r="BJ4" s="15"/>
      <c r="BL4" s="14" t="s">
        <v>49</v>
      </c>
      <c r="BM4" s="14">
        <f>(BO19/BO9)^(1/(BL19-BL9))</f>
        <v>1.0085055318034897</v>
      </c>
      <c r="BN4" s="15"/>
      <c r="BO4" s="15"/>
      <c r="BQ4" s="14" t="s">
        <v>33</v>
      </c>
      <c r="BR4" s="14">
        <f>MIN(BQ8:BQ156)</f>
        <v>1948</v>
      </c>
      <c r="BS4" s="14">
        <f>VLOOKUP(BR4,$BQ$8:$BT$193,4,FALSE)</f>
        <v>17</v>
      </c>
      <c r="BT4" s="14">
        <f>(BS5/BS4)^(1/(BR5-BR4))</f>
        <v>1.0242007015521464</v>
      </c>
    </row>
    <row r="5" spans="1:92" x14ac:dyDescent="0.35">
      <c r="A5" t="s">
        <v>34</v>
      </c>
      <c r="B5">
        <f>MAX(A15:A156)</f>
        <v>2026</v>
      </c>
      <c r="C5">
        <f>VLOOKUP(B5,$A$15:$D$193,4,FALSE)</f>
        <v>131.69938882260817</v>
      </c>
      <c r="E5" s="10"/>
      <c r="F5" s="10"/>
      <c r="M5" t="s">
        <v>34</v>
      </c>
      <c r="N5">
        <f>MAX(K8:K156)</f>
        <v>2027</v>
      </c>
      <c r="O5">
        <f>VLOOKUP(N5,$K$8:$O$193,5,FALSE)</f>
        <v>163.03155667222143</v>
      </c>
      <c r="P5" s="10"/>
      <c r="Q5" s="10"/>
      <c r="AZ5" s="10"/>
      <c r="BA5" s="10"/>
      <c r="BH5" s="10"/>
      <c r="BI5" s="10"/>
      <c r="BJ5" s="10"/>
      <c r="BN5" s="10"/>
      <c r="BO5" s="10"/>
      <c r="BQ5" t="s">
        <v>34</v>
      </c>
      <c r="BR5">
        <f>MAX(BQ8:BQ156)</f>
        <v>2060</v>
      </c>
      <c r="BS5">
        <f>VLOOKUP(BR5,$BQ$8:$BT$193,4,FALSE)</f>
        <v>247.50082281274493</v>
      </c>
      <c r="BY5" t="s">
        <v>16</v>
      </c>
    </row>
    <row r="6" spans="1:92" x14ac:dyDescent="0.35">
      <c r="A6" t="s">
        <v>51</v>
      </c>
      <c r="C6">
        <f>(C5/C4)^(1/(B5-B4))</f>
        <v>1.0260312329382162</v>
      </c>
      <c r="E6" s="10"/>
      <c r="F6" s="10"/>
      <c r="M6" t="s">
        <v>51</v>
      </c>
      <c r="O6">
        <f>(O5/O4)^(1/(N5-N4))</f>
        <v>1.0047904365287279</v>
      </c>
      <c r="P6" s="10"/>
      <c r="Q6" s="10"/>
      <c r="AW6" t="s">
        <v>38</v>
      </c>
      <c r="AX6">
        <f>AVERAGE(AX9:AX82)</f>
        <v>0.57442164874562007</v>
      </c>
      <c r="AY6">
        <f>AVERAGE(AY9:AY82)</f>
        <v>0.53335143844652355</v>
      </c>
      <c r="AZ6" s="10"/>
      <c r="BA6" s="10"/>
      <c r="BE6" t="s">
        <v>38</v>
      </c>
      <c r="BF6">
        <f>AVERAGE(BF9:BF82)</f>
        <v>6.0198436757189541E-2</v>
      </c>
      <c r="BG6">
        <f>AVERAGE(BG9:BG82)</f>
        <v>0.15704228576200643</v>
      </c>
      <c r="BH6" s="10"/>
      <c r="BI6" s="10"/>
      <c r="BJ6" s="10"/>
      <c r="BM6" t="s">
        <v>52</v>
      </c>
      <c r="BN6" s="10"/>
      <c r="BO6" s="10" t="s">
        <v>50</v>
      </c>
    </row>
    <row r="7" spans="1:92" x14ac:dyDescent="0.35">
      <c r="A7" s="2">
        <v>1980</v>
      </c>
      <c r="H7">
        <v>15.15</v>
      </c>
      <c r="I7">
        <v>13.53</v>
      </c>
      <c r="P7" s="10">
        <f>P8-1</f>
        <v>2000</v>
      </c>
      <c r="Q7" s="11">
        <f>Q8/O6</f>
        <v>143.29576929253196</v>
      </c>
      <c r="AP7">
        <v>1979</v>
      </c>
      <c r="AQ7" s="15">
        <v>4.55</v>
      </c>
      <c r="AZ7" s="10"/>
      <c r="BA7" s="10"/>
      <c r="BH7" s="10"/>
      <c r="BI7" s="10"/>
      <c r="BJ7" s="10"/>
      <c r="BN7" s="10"/>
      <c r="BO7" s="10"/>
    </row>
    <row r="8" spans="1:92" x14ac:dyDescent="0.35">
      <c r="A8" s="2">
        <v>1981</v>
      </c>
      <c r="H8">
        <v>11.81</v>
      </c>
      <c r="I8">
        <v>10.38</v>
      </c>
      <c r="K8">
        <v>2001</v>
      </c>
      <c r="L8">
        <v>105.97091287500001</v>
      </c>
      <c r="N8" s="1">
        <f>IF(L8="",N7*M8/M7,L8)</f>
        <v>105.97091287500001</v>
      </c>
      <c r="O8" s="1">
        <f t="shared" ref="O8:O34" si="0">N8*100/VLOOKUP(K8,$E$15:$F$71,2,FALSE)</f>
        <v>143.98221858016308</v>
      </c>
      <c r="P8" s="10">
        <f>K8</f>
        <v>2001</v>
      </c>
      <c r="Q8" s="11">
        <f>O8</f>
        <v>143.98221858016308</v>
      </c>
      <c r="S8">
        <f t="shared" ref="S8:S26" si="1">YEAR(T8)</f>
        <v>1969</v>
      </c>
      <c r="T8" s="6">
        <v>25538</v>
      </c>
      <c r="U8">
        <v>156.81673633299999</v>
      </c>
      <c r="V8">
        <v>4.1099999999959828E-2</v>
      </c>
      <c r="W8" t="e">
        <v>#N/A</v>
      </c>
      <c r="X8" s="3" t="e">
        <v>#N/A</v>
      </c>
      <c r="Y8" s="3"/>
      <c r="AH8">
        <v>1980</v>
      </c>
      <c r="AI8">
        <v>7.58</v>
      </c>
      <c r="AJ8">
        <v>-6.58</v>
      </c>
      <c r="AL8">
        <v>1980</v>
      </c>
      <c r="AM8">
        <v>9.15</v>
      </c>
      <c r="AN8">
        <v>-5.22</v>
      </c>
      <c r="AP8">
        <v>1980</v>
      </c>
      <c r="AQ8" s="15">
        <f t="shared" ref="AQ8:AQ53" si="2">(6*AD19+70*AF19+8*AJ8+4*AN8)/(6+70+8+4)</f>
        <v>10.152954545454547</v>
      </c>
      <c r="AS8">
        <v>1986</v>
      </c>
      <c r="AT8">
        <v>36276</v>
      </c>
      <c r="AZ8" s="10">
        <f>AZ9-1</f>
        <v>1986</v>
      </c>
      <c r="BA8" s="10">
        <f>AY6</f>
        <v>0.53335143844652355</v>
      </c>
      <c r="BB8" s="3"/>
      <c r="BH8" s="10">
        <f>BH9-1</f>
        <v>1994</v>
      </c>
      <c r="BI8" s="10">
        <f>BF6</f>
        <v>6.0198436757189541E-2</v>
      </c>
      <c r="BJ8" s="10">
        <f>BG6</f>
        <v>0.15704228576200643</v>
      </c>
      <c r="BN8" s="10">
        <v>2010</v>
      </c>
      <c r="BO8" s="12">
        <f>BO9/BM4</f>
        <v>9.0451221008231997</v>
      </c>
      <c r="BQ8">
        <v>1948</v>
      </c>
      <c r="BR8">
        <v>17</v>
      </c>
      <c r="BT8" s="1">
        <f>MAX(BR8:BS8)</f>
        <v>17</v>
      </c>
      <c r="BV8">
        <v>1948</v>
      </c>
      <c r="BW8" s="1">
        <v>3.7</v>
      </c>
      <c r="BY8">
        <f>IF(BV8&lt;$B$4,BY9*BW8/BW9,IF(BV8&gt;$B$5,BY5*BW8/BW5,VLOOKUP(BV8,$A$15:$D$119,4,FALSE)))</f>
        <v>3.7149797570850209</v>
      </c>
    </row>
    <row r="9" spans="1:92" x14ac:dyDescent="0.35">
      <c r="A9" s="2">
        <v>1982</v>
      </c>
      <c r="H9">
        <v>8.11</v>
      </c>
      <c r="I9">
        <v>6.13</v>
      </c>
      <c r="J9" s="14"/>
      <c r="K9">
        <f>K8+1</f>
        <v>2002</v>
      </c>
      <c r="L9">
        <v>109.26585223333335</v>
      </c>
      <c r="N9" s="1">
        <f t="shared" ref="N9:N34" si="3">IF(L9="",N8*M9/M8,L9)</f>
        <v>109.26585223333335</v>
      </c>
      <c r="O9" s="1">
        <f t="shared" si="0"/>
        <v>146.66557346756156</v>
      </c>
      <c r="P9" s="10">
        <f t="shared" ref="P9:P34" si="4">K9</f>
        <v>2002</v>
      </c>
      <c r="Q9" s="11">
        <f t="shared" ref="Q9:Q34" si="5">O9</f>
        <v>146.66557346756156</v>
      </c>
      <c r="S9">
        <f t="shared" si="1"/>
        <v>1970</v>
      </c>
      <c r="T9" s="6">
        <v>25903</v>
      </c>
      <c r="U9">
        <v>138.46594678299999</v>
      </c>
      <c r="V9">
        <v>4.7499999999909726E-2</v>
      </c>
      <c r="W9" t="e">
        <v>#N/A</v>
      </c>
      <c r="X9" s="3" t="e">
        <v>#N/A</v>
      </c>
      <c r="Y9" s="3"/>
      <c r="Z9">
        <f>U9/U8+V8</f>
        <v>0.92407939378716286</v>
      </c>
      <c r="AH9">
        <v>1981</v>
      </c>
      <c r="AI9">
        <v>8.84</v>
      </c>
      <c r="AJ9">
        <v>-2.65</v>
      </c>
      <c r="AL9">
        <v>1981</v>
      </c>
      <c r="AM9">
        <v>8.74</v>
      </c>
      <c r="AN9">
        <v>-2.75</v>
      </c>
      <c r="AP9">
        <v>1981</v>
      </c>
      <c r="AQ9" s="15">
        <f t="shared" si="2"/>
        <v>-10.243409090909092</v>
      </c>
      <c r="AS9">
        <v>1987</v>
      </c>
      <c r="AT9">
        <v>40391</v>
      </c>
      <c r="AU9">
        <f>AT9/AT8-1</f>
        <v>0.11343588047193731</v>
      </c>
      <c r="AW9">
        <v>1987</v>
      </c>
      <c r="AX9">
        <f t="shared" ref="AX9:AX43" si="6">AVERAGE(AU9,Z26)</f>
        <v>0.55693312524024274</v>
      </c>
      <c r="AY9">
        <f t="shared" ref="AY9:AY43" si="7">(1+AX9)/(F15/F14)-1</f>
        <v>0.517432486710661</v>
      </c>
      <c r="AZ9" s="10">
        <f>AW9</f>
        <v>1987</v>
      </c>
      <c r="BA9" s="10">
        <f>AY9</f>
        <v>0.517432486710661</v>
      </c>
      <c r="BB9" s="3"/>
      <c r="BC9">
        <v>1995</v>
      </c>
      <c r="BD9">
        <v>16.844999999999999</v>
      </c>
      <c r="BE9">
        <v>22.755833333333339</v>
      </c>
      <c r="BF9">
        <f t="shared" ref="BF9:BF35" si="8">(1+BD9/100)/($F23/$F22)-1</f>
        <v>0.14127674418604652</v>
      </c>
      <c r="BG9">
        <f t="shared" ref="BG9:BG35" si="9">(1+BE9/100)/($F23/$F22)-1</f>
        <v>0.19901046511627918</v>
      </c>
      <c r="BH9" s="10">
        <f>BC9</f>
        <v>1995</v>
      </c>
      <c r="BI9" s="10">
        <f>BD9/100</f>
        <v>0.16844999999999999</v>
      </c>
      <c r="BJ9" s="10">
        <f>BE9/100</f>
        <v>0.22755833333333339</v>
      </c>
      <c r="BL9">
        <v>2011</v>
      </c>
      <c r="BM9" s="7">
        <v>8.52</v>
      </c>
      <c r="BN9" s="10">
        <f>BL9</f>
        <v>2011</v>
      </c>
      <c r="BO9" s="12">
        <f>BM9*BZ71</f>
        <v>9.1220556745181991</v>
      </c>
      <c r="BQ9">
        <v>1949</v>
      </c>
      <c r="BR9">
        <v>17.600000000000001</v>
      </c>
      <c r="BT9" s="1">
        <f>MAX(BR9:BS9)</f>
        <v>17.600000000000001</v>
      </c>
      <c r="BV9">
        <f>BV8+1</f>
        <v>1949</v>
      </c>
      <c r="BW9" s="1">
        <v>3.8</v>
      </c>
      <c r="BY9">
        <f t="shared" ref="BY9:BY40" si="10">IF(BV9&lt;$B$4,BY10*BW9/BW10,IF(BV9&gt;$B$5,BY8*BW9/BW8,VLOOKUP(BV9,$A$15:$D$119,4,FALSE)))</f>
        <v>3.815384615384616</v>
      </c>
      <c r="CE9">
        <v>2011</v>
      </c>
      <c r="CF9">
        <v>-1.4500000000000001E-2</v>
      </c>
      <c r="CG9">
        <v>3.3500000000000002E-2</v>
      </c>
      <c r="CH9">
        <v>8.8400000000000006E-2</v>
      </c>
      <c r="CI9">
        <v>0.16789999999999999</v>
      </c>
      <c r="CK9" s="15">
        <f>(1+CF9)/$G38-1</f>
        <v>-5.6705567451820094E-2</v>
      </c>
      <c r="CL9" s="15">
        <f t="shared" ref="CL9:CN23" si="11">(1+CG9)/$G38-1</f>
        <v>-1.0761241970021374E-2</v>
      </c>
      <c r="CM9" s="15">
        <f t="shared" si="11"/>
        <v>4.1787580299785798E-2</v>
      </c>
      <c r="CN9" s="15">
        <f t="shared" si="11"/>
        <v>0.11788286937901482</v>
      </c>
    </row>
    <row r="10" spans="1:92" x14ac:dyDescent="0.35">
      <c r="A10" s="2">
        <v>1983</v>
      </c>
      <c r="H10">
        <v>4.93</v>
      </c>
      <c r="I10">
        <v>3.21</v>
      </c>
      <c r="J10" s="14"/>
      <c r="K10">
        <f t="shared" ref="K10:K28" si="12">K9+1</f>
        <v>2003</v>
      </c>
      <c r="L10">
        <v>112.97665204166667</v>
      </c>
      <c r="N10" s="1">
        <f t="shared" si="3"/>
        <v>112.97665204166667</v>
      </c>
      <c r="O10" s="1">
        <f t="shared" si="0"/>
        <v>149.63794972406183</v>
      </c>
      <c r="P10" s="10">
        <f t="shared" si="4"/>
        <v>2003</v>
      </c>
      <c r="Q10" s="11">
        <f t="shared" si="5"/>
        <v>149.63794972406183</v>
      </c>
      <c r="S10">
        <f t="shared" si="1"/>
        <v>1971</v>
      </c>
      <c r="T10" s="6">
        <v>26268</v>
      </c>
      <c r="U10">
        <v>195.326713111</v>
      </c>
      <c r="V10">
        <v>3.5999999999969279E-2</v>
      </c>
      <c r="W10" t="e">
        <v>#N/A</v>
      </c>
      <c r="X10" s="3" t="e">
        <v>#N/A</v>
      </c>
      <c r="Y10" s="3"/>
      <c r="Z10">
        <f t="shared" ref="Z10:Z21" si="13">U10/U9+V9</f>
        <v>1.4581480159854621</v>
      </c>
      <c r="AH10">
        <v>1982</v>
      </c>
      <c r="AI10">
        <v>23.95</v>
      </c>
      <c r="AJ10">
        <v>14.65</v>
      </c>
      <c r="AL10">
        <v>1982</v>
      </c>
      <c r="AM10">
        <v>21.53</v>
      </c>
      <c r="AN10">
        <v>12.41</v>
      </c>
      <c r="AP10">
        <v>1982</v>
      </c>
      <c r="AQ10" s="15">
        <f t="shared" si="2"/>
        <v>6.9688636363636363</v>
      </c>
      <c r="AS10">
        <v>1988</v>
      </c>
      <c r="AT10">
        <v>49355</v>
      </c>
      <c r="AU10">
        <f t="shared" ref="AU10:AU43" si="14">AT10/AT9-1</f>
        <v>0.22193062811022268</v>
      </c>
      <c r="AW10">
        <f>AW9+1</f>
        <v>1988</v>
      </c>
      <c r="AX10">
        <f t="shared" si="6"/>
        <v>0.68772693830895992</v>
      </c>
      <c r="AY10">
        <f t="shared" si="7"/>
        <v>0.60366391073035253</v>
      </c>
      <c r="AZ10" s="10">
        <f t="shared" ref="AZ10:AZ43" si="15">AW10</f>
        <v>1988</v>
      </c>
      <c r="BA10" s="10">
        <f t="shared" ref="BA10:BA43" si="16">AY10</f>
        <v>0.60366391073035253</v>
      </c>
      <c r="BB10" s="3"/>
      <c r="BC10">
        <f t="shared" ref="BC10:BC35" si="17">BC9+1</f>
        <v>1996</v>
      </c>
      <c r="BD10">
        <v>14.020833333333334</v>
      </c>
      <c r="BE10">
        <v>22.240833333333331</v>
      </c>
      <c r="BF10">
        <f t="shared" si="8"/>
        <v>0.11906324298621018</v>
      </c>
      <c r="BG10">
        <f t="shared" si="9"/>
        <v>0.19973884926295771</v>
      </c>
      <c r="BH10" s="10">
        <f t="shared" ref="BH10:BH35" si="18">BC10</f>
        <v>1996</v>
      </c>
      <c r="BI10" s="10">
        <f t="shared" ref="BI10:BI35" si="19">BD10/100</f>
        <v>0.14020833333333335</v>
      </c>
      <c r="BJ10" s="10">
        <f t="shared" ref="BJ10:BJ35" si="20">BE10/100</f>
        <v>0.22240833333333332</v>
      </c>
      <c r="BL10">
        <v>2012</v>
      </c>
      <c r="BM10" s="7">
        <v>8.57</v>
      </c>
      <c r="BN10" s="10">
        <f t="shared" ref="BN10:BN20" si="21">BL10</f>
        <v>2012</v>
      </c>
      <c r="BO10" s="12">
        <f t="shared" ref="BO10:BO19" si="22">BM10*BZ72</f>
        <v>8.9177939646201878</v>
      </c>
      <c r="BQ10">
        <v>1950</v>
      </c>
      <c r="BR10">
        <v>18.2</v>
      </c>
      <c r="BT10" s="1">
        <f>MAX(BR10:BS10)</f>
        <v>18.2</v>
      </c>
      <c r="BV10">
        <f t="shared" ref="BV10:BV73" si="23">BV9+1</f>
        <v>1950</v>
      </c>
      <c r="BW10" s="1">
        <v>3.9</v>
      </c>
      <c r="BY10">
        <f t="shared" si="10"/>
        <v>3.9157894736842116</v>
      </c>
      <c r="CE10">
        <v>2012</v>
      </c>
      <c r="CF10">
        <v>4.0000000000000001E-3</v>
      </c>
      <c r="CG10">
        <v>3.2000000000000001E-2</v>
      </c>
      <c r="CH10">
        <v>7.7600000000000002E-2</v>
      </c>
      <c r="CI10">
        <v>0.1729</v>
      </c>
      <c r="CK10" s="15">
        <f t="shared" ref="CK10:CK23" si="24">(1+CF10)/$G39-1</f>
        <v>-2.4208116545265113E-2</v>
      </c>
      <c r="CL10" s="15">
        <f t="shared" si="11"/>
        <v>3.0052029136318215E-3</v>
      </c>
      <c r="CM10" s="15">
        <f t="shared" si="11"/>
        <v>4.7324037460978241E-2</v>
      </c>
      <c r="CN10" s="15">
        <f t="shared" si="11"/>
        <v>0.13994651404786707</v>
      </c>
    </row>
    <row r="11" spans="1:92" x14ac:dyDescent="0.35">
      <c r="A11" s="2">
        <v>1984</v>
      </c>
      <c r="H11">
        <v>4.26</v>
      </c>
      <c r="I11">
        <v>4.32</v>
      </c>
      <c r="J11" s="14"/>
      <c r="K11">
        <f t="shared" si="12"/>
        <v>2004</v>
      </c>
      <c r="L11">
        <v>118.25607815833332</v>
      </c>
      <c r="N11" s="1">
        <f t="shared" si="3"/>
        <v>118.25607815833332</v>
      </c>
      <c r="O11" s="1">
        <f t="shared" si="0"/>
        <v>154.58310870370369</v>
      </c>
      <c r="P11" s="10">
        <f t="shared" si="4"/>
        <v>2004</v>
      </c>
      <c r="Q11" s="11">
        <f t="shared" si="5"/>
        <v>154.58310870370369</v>
      </c>
      <c r="S11">
        <f t="shared" si="1"/>
        <v>1972</v>
      </c>
      <c r="T11" s="6">
        <v>26634</v>
      </c>
      <c r="U11">
        <v>214.67558006799999</v>
      </c>
      <c r="V11">
        <v>3.3199999999964598E-2</v>
      </c>
      <c r="W11" t="e">
        <v>#N/A</v>
      </c>
      <c r="X11" s="3" t="e">
        <v>#N/A</v>
      </c>
      <c r="Y11" s="3"/>
      <c r="Z11">
        <f t="shared" si="13"/>
        <v>1.135058990185323</v>
      </c>
      <c r="AH11">
        <v>1983</v>
      </c>
      <c r="AI11">
        <v>22.91</v>
      </c>
      <c r="AJ11">
        <v>17.13</v>
      </c>
      <c r="AL11">
        <v>1983</v>
      </c>
      <c r="AM11">
        <v>21.71</v>
      </c>
      <c r="AN11">
        <v>15.98</v>
      </c>
      <c r="AP11">
        <v>1983</v>
      </c>
      <c r="AQ11" s="15">
        <f t="shared" si="2"/>
        <v>19.185909090909092</v>
      </c>
      <c r="AS11">
        <v>1989</v>
      </c>
      <c r="AT11">
        <v>54846</v>
      </c>
      <c r="AU11">
        <f t="shared" si="14"/>
        <v>0.1112551919764968</v>
      </c>
      <c r="AW11">
        <f t="shared" ref="AW11:AW43" si="25">AW10+1</f>
        <v>1989</v>
      </c>
      <c r="AX11">
        <f t="shared" si="6"/>
        <v>0.7165267419814163</v>
      </c>
      <c r="AY11">
        <f t="shared" si="7"/>
        <v>0.60291048177871076</v>
      </c>
      <c r="AZ11" s="10">
        <f t="shared" si="15"/>
        <v>1989</v>
      </c>
      <c r="BA11" s="10">
        <f t="shared" si="16"/>
        <v>0.60291048177871076</v>
      </c>
      <c r="BB11" s="3"/>
      <c r="BC11">
        <f t="shared" si="17"/>
        <v>1997</v>
      </c>
      <c r="BD11">
        <v>13.783333333333333</v>
      </c>
      <c r="BE11">
        <v>22.367499999999996</v>
      </c>
      <c r="BF11">
        <f t="shared" si="8"/>
        <v>0.12025444756554271</v>
      </c>
      <c r="BG11">
        <f t="shared" si="9"/>
        <v>0.20476990870786493</v>
      </c>
      <c r="BH11" s="10">
        <f t="shared" si="18"/>
        <v>1997</v>
      </c>
      <c r="BI11" s="10">
        <f t="shared" si="19"/>
        <v>0.13783333333333334</v>
      </c>
      <c r="BJ11" s="10">
        <f t="shared" si="20"/>
        <v>0.22367499999999996</v>
      </c>
      <c r="BL11">
        <v>2013</v>
      </c>
      <c r="BM11" s="7">
        <v>8.58</v>
      </c>
      <c r="BN11" s="10">
        <f t="shared" si="21"/>
        <v>2013</v>
      </c>
      <c r="BO11" s="12">
        <f t="shared" si="22"/>
        <v>8.7106598984771573</v>
      </c>
      <c r="BQ11">
        <v>1951</v>
      </c>
      <c r="BR11">
        <v>18.899999999999999</v>
      </c>
      <c r="BS11" t="str">
        <f>IF(AND(BR12="",NOT(BR11="")),BR11,IF(BR11="",IF(BR10="",BS10*BS10/BS9,(BR10/$BR$8)^(1/(BQ10-$BQ$8))*BS10),""))</f>
        <v/>
      </c>
      <c r="BT11" s="1">
        <f>MAX(BR11:BS11)</f>
        <v>18.899999999999999</v>
      </c>
      <c r="BV11">
        <f t="shared" si="23"/>
        <v>1951</v>
      </c>
      <c r="BW11" s="1">
        <v>4.2</v>
      </c>
      <c r="BY11">
        <f t="shared" si="10"/>
        <v>4.2170040485829974</v>
      </c>
      <c r="CE11">
        <v>2013</v>
      </c>
      <c r="CF11">
        <v>2.5700000000000001E-2</v>
      </c>
      <c r="CG11">
        <v>3.2899999999999999E-2</v>
      </c>
      <c r="CH11">
        <v>6.3799999999999996E-2</v>
      </c>
      <c r="CI11">
        <v>0.17849999999999999</v>
      </c>
      <c r="CK11" s="15">
        <f t="shared" si="24"/>
        <v>7.0832487309657743E-4</v>
      </c>
      <c r="CL11" s="15">
        <f t="shared" si="11"/>
        <v>7.7328934010152395E-3</v>
      </c>
      <c r="CM11" s="15">
        <f t="shared" si="11"/>
        <v>3.7880000000000136E-2</v>
      </c>
      <c r="CN11" s="15">
        <f t="shared" si="11"/>
        <v>0.14978527918781737</v>
      </c>
    </row>
    <row r="12" spans="1:92" x14ac:dyDescent="0.35">
      <c r="A12" s="2">
        <v>1985</v>
      </c>
      <c r="H12">
        <v>4.92</v>
      </c>
      <c r="I12">
        <v>3.56</v>
      </c>
      <c r="J12" s="14"/>
      <c r="K12">
        <f t="shared" si="12"/>
        <v>2005</v>
      </c>
      <c r="L12">
        <v>123.76292169166668</v>
      </c>
      <c r="N12" s="1">
        <f t="shared" si="3"/>
        <v>123.76292169166668</v>
      </c>
      <c r="O12" s="1">
        <f t="shared" si="0"/>
        <v>158.46724928510457</v>
      </c>
      <c r="P12" s="10">
        <f t="shared" si="4"/>
        <v>2005</v>
      </c>
      <c r="Q12" s="11">
        <f t="shared" si="5"/>
        <v>158.46724928510457</v>
      </c>
      <c r="S12">
        <f t="shared" si="1"/>
        <v>1973</v>
      </c>
      <c r="T12" s="6">
        <v>26999</v>
      </c>
      <c r="U12">
        <v>148.83211707800001</v>
      </c>
      <c r="V12">
        <v>4.7600006220076804E-2</v>
      </c>
      <c r="W12" t="e">
        <v>#N/A</v>
      </c>
      <c r="X12" s="3" t="e">
        <v>#N/A</v>
      </c>
      <c r="Y12" s="3"/>
      <c r="Z12">
        <f t="shared" si="13"/>
        <v>0.72648852881566128</v>
      </c>
      <c r="AH12">
        <v>1984</v>
      </c>
      <c r="AI12">
        <v>12.08</v>
      </c>
      <c r="AJ12">
        <v>7.51</v>
      </c>
      <c r="AL12">
        <v>1984</v>
      </c>
      <c r="AM12">
        <v>13.52</v>
      </c>
      <c r="AN12">
        <v>8.8800000000000008</v>
      </c>
      <c r="AP12">
        <v>1984</v>
      </c>
      <c r="AQ12" s="15">
        <f t="shared" si="2"/>
        <v>3.7977272727272724</v>
      </c>
      <c r="AS12">
        <v>1990</v>
      </c>
      <c r="AT12">
        <v>59785</v>
      </c>
      <c r="AU12">
        <f t="shared" si="14"/>
        <v>9.0052146008824607E-2</v>
      </c>
      <c r="AW12">
        <f t="shared" si="25"/>
        <v>1990</v>
      </c>
      <c r="AX12">
        <f t="shared" si="6"/>
        <v>0.5309778729434711</v>
      </c>
      <c r="AY12">
        <f t="shared" si="7"/>
        <v>0.4239877387277875</v>
      </c>
      <c r="AZ12" s="10">
        <f t="shared" si="15"/>
        <v>1990</v>
      </c>
      <c r="BA12" s="10">
        <f t="shared" si="16"/>
        <v>0.4239877387277875</v>
      </c>
      <c r="BB12" s="3"/>
      <c r="BC12">
        <f t="shared" si="17"/>
        <v>1998</v>
      </c>
      <c r="BD12">
        <v>13.4625</v>
      </c>
      <c r="BE12">
        <v>21.951666666666668</v>
      </c>
      <c r="BF12">
        <f t="shared" si="8"/>
        <v>0.12046185852981983</v>
      </c>
      <c r="BG12">
        <f t="shared" si="9"/>
        <v>0.20429385113268639</v>
      </c>
      <c r="BH12" s="10">
        <f t="shared" si="18"/>
        <v>1998</v>
      </c>
      <c r="BI12" s="10">
        <f t="shared" si="19"/>
        <v>0.13462499999999999</v>
      </c>
      <c r="BJ12" s="10">
        <f t="shared" si="20"/>
        <v>0.21951666666666669</v>
      </c>
      <c r="BL12">
        <v>2014</v>
      </c>
      <c r="BM12" s="7">
        <v>8.58</v>
      </c>
      <c r="BN12" s="10">
        <f t="shared" si="21"/>
        <v>2014</v>
      </c>
      <c r="BO12" s="12">
        <f t="shared" si="22"/>
        <v>8.58</v>
      </c>
      <c r="BQ12">
        <v>1952</v>
      </c>
      <c r="BR12">
        <v>19.100000000000001</v>
      </c>
      <c r="BS12" t="str">
        <f t="shared" ref="BS12:BS75" si="26">IF(AND(BR13="",NOT(BR12="")),BR12,IF(BR12="",IF(BR11="",BS11*BS11/BS10,(BR11/$BR$8)^(1/(BQ11-$BQ$8))*BS11),""))</f>
        <v/>
      </c>
      <c r="BT12" s="1">
        <f t="shared" ref="BT12:BT72" si="27">MAX(BR12:BS12)</f>
        <v>19.100000000000001</v>
      </c>
      <c r="BV12">
        <f t="shared" si="23"/>
        <v>1952</v>
      </c>
      <c r="BW12" s="1">
        <v>4.5</v>
      </c>
      <c r="BY12">
        <f t="shared" si="10"/>
        <v>4.5182186234817827</v>
      </c>
      <c r="CE12">
        <v>2014</v>
      </c>
      <c r="CF12">
        <v>8.0299999999999996E-2</v>
      </c>
      <c r="CG12">
        <v>3.2000000000000001E-2</v>
      </c>
      <c r="CH12">
        <v>5.1900000000000002E-2</v>
      </c>
      <c r="CI12">
        <v>0.17599999999999999</v>
      </c>
      <c r="CK12" s="15">
        <f t="shared" si="24"/>
        <v>6.4095500000000083E-2</v>
      </c>
      <c r="CL12" s="15">
        <f t="shared" si="11"/>
        <v>1.652000000000009E-2</v>
      </c>
      <c r="CM12" s="15">
        <f t="shared" si="11"/>
        <v>3.612150000000014E-2</v>
      </c>
      <c r="CN12" s="15">
        <f t="shared" si="11"/>
        <v>0.15836000000000006</v>
      </c>
    </row>
    <row r="13" spans="1:92" x14ac:dyDescent="0.35">
      <c r="A13" s="2">
        <v>1986</v>
      </c>
      <c r="H13">
        <v>3.33</v>
      </c>
      <c r="I13">
        <v>1.86</v>
      </c>
      <c r="J13" s="14"/>
      <c r="K13">
        <f t="shared" si="12"/>
        <v>2006</v>
      </c>
      <c r="L13">
        <v>129.91319467500003</v>
      </c>
      <c r="N13" s="1">
        <f t="shared" si="3"/>
        <v>129.91319467500003</v>
      </c>
      <c r="O13" s="1">
        <f t="shared" si="0"/>
        <v>162.59473676470591</v>
      </c>
      <c r="P13" s="10">
        <f t="shared" si="4"/>
        <v>2006</v>
      </c>
      <c r="Q13" s="11">
        <f t="shared" si="5"/>
        <v>162.59473676470591</v>
      </c>
      <c r="S13">
        <f t="shared" si="1"/>
        <v>1974</v>
      </c>
      <c r="T13" s="6">
        <v>27364</v>
      </c>
      <c r="U13">
        <v>63.2247450411</v>
      </c>
      <c r="V13">
        <v>0.12090000000001597</v>
      </c>
      <c r="W13" t="e">
        <v>#N/A</v>
      </c>
      <c r="X13" s="3" t="e">
        <v>#N/A</v>
      </c>
      <c r="Y13" s="3"/>
      <c r="Z13">
        <f t="shared" si="13"/>
        <v>0.47240579600780891</v>
      </c>
      <c r="AH13">
        <v>1985</v>
      </c>
      <c r="AI13">
        <v>12.05</v>
      </c>
      <c r="AJ13">
        <v>6.8</v>
      </c>
      <c r="AL13">
        <v>1985</v>
      </c>
      <c r="AM13">
        <v>13.38</v>
      </c>
      <c r="AN13">
        <v>8.06</v>
      </c>
      <c r="AP13">
        <v>1985</v>
      </c>
      <c r="AQ13" s="15">
        <f t="shared" si="2"/>
        <v>31.389545454545452</v>
      </c>
      <c r="AS13">
        <v>1991</v>
      </c>
      <c r="AT13">
        <v>62455</v>
      </c>
      <c r="AU13">
        <f t="shared" si="14"/>
        <v>4.4660031780547005E-2</v>
      </c>
      <c r="AW13">
        <f t="shared" si="25"/>
        <v>1991</v>
      </c>
      <c r="AX13">
        <f t="shared" si="6"/>
        <v>0.60133351174617944</v>
      </c>
      <c r="AY13">
        <f t="shared" si="7"/>
        <v>0.53738249290647588</v>
      </c>
      <c r="AZ13" s="10">
        <f t="shared" si="15"/>
        <v>1991</v>
      </c>
      <c r="BA13" s="10">
        <f t="shared" si="16"/>
        <v>0.53738249290647588</v>
      </c>
      <c r="BB13" s="3"/>
      <c r="BC13">
        <f t="shared" si="17"/>
        <v>1999</v>
      </c>
      <c r="BD13">
        <v>12.176666666666668</v>
      </c>
      <c r="BE13">
        <v>19.584999999999997</v>
      </c>
      <c r="BF13">
        <f t="shared" si="8"/>
        <v>0.11250861989912853</v>
      </c>
      <c r="BG13">
        <f t="shared" si="9"/>
        <v>0.18598053645116908</v>
      </c>
      <c r="BH13" s="10">
        <f t="shared" si="18"/>
        <v>1999</v>
      </c>
      <c r="BI13" s="10">
        <f t="shared" si="19"/>
        <v>0.12176666666666668</v>
      </c>
      <c r="BJ13" s="10">
        <f t="shared" si="20"/>
        <v>0.19584999999999997</v>
      </c>
      <c r="BL13">
        <v>2015</v>
      </c>
      <c r="BM13" s="7">
        <v>8.7899999999999991</v>
      </c>
      <c r="BN13" s="10">
        <f t="shared" si="21"/>
        <v>2015</v>
      </c>
      <c r="BO13" s="12">
        <f t="shared" si="22"/>
        <v>8.7899999999999991</v>
      </c>
      <c r="BQ13">
        <v>1953</v>
      </c>
      <c r="BR13">
        <v>20.2</v>
      </c>
      <c r="BS13" t="str">
        <f t="shared" si="26"/>
        <v/>
      </c>
      <c r="BT13" s="1">
        <f t="shared" si="27"/>
        <v>20.2</v>
      </c>
      <c r="BV13">
        <f t="shared" si="23"/>
        <v>1953</v>
      </c>
      <c r="BW13" s="1">
        <v>4.5999999999999996</v>
      </c>
      <c r="BY13">
        <f t="shared" si="10"/>
        <v>4.6186234817813778</v>
      </c>
      <c r="CE13">
        <v>2015</v>
      </c>
      <c r="CF13">
        <v>5.9499999999999997E-2</v>
      </c>
      <c r="CG13">
        <v>3.0800000000000001E-2</v>
      </c>
      <c r="CH13">
        <v>4.3999999999999997E-2</v>
      </c>
      <c r="CI13">
        <v>0.1789</v>
      </c>
      <c r="CK13" s="15">
        <f t="shared" si="24"/>
        <v>5.9499999999999886E-2</v>
      </c>
      <c r="CL13" s="15">
        <f t="shared" si="11"/>
        <v>3.0799999999999939E-2</v>
      </c>
      <c r="CM13" s="15">
        <f t="shared" si="11"/>
        <v>4.4000000000000039E-2</v>
      </c>
      <c r="CN13" s="15">
        <f t="shared" si="11"/>
        <v>0.17890000000000006</v>
      </c>
    </row>
    <row r="14" spans="1:92" x14ac:dyDescent="0.35">
      <c r="A14" s="2">
        <v>1987</v>
      </c>
      <c r="E14" s="10">
        <f>E15-1</f>
        <v>1987</v>
      </c>
      <c r="F14" s="11">
        <f>F15/C6</f>
        <v>48.34160833287882</v>
      </c>
      <c r="H14">
        <v>3.2</v>
      </c>
      <c r="I14">
        <v>3.65</v>
      </c>
      <c r="J14" s="14"/>
      <c r="K14">
        <f t="shared" si="12"/>
        <v>2007</v>
      </c>
      <c r="L14">
        <v>135.7479611</v>
      </c>
      <c r="N14" s="1">
        <f t="shared" si="3"/>
        <v>135.7479611</v>
      </c>
      <c r="O14" s="1">
        <f t="shared" si="0"/>
        <v>165.95105268948654</v>
      </c>
      <c r="P14" s="10">
        <f t="shared" si="4"/>
        <v>2007</v>
      </c>
      <c r="Q14" s="11">
        <f t="shared" si="5"/>
        <v>165.95105268948654</v>
      </c>
      <c r="S14">
        <f t="shared" si="1"/>
        <v>1975</v>
      </c>
      <c r="T14" s="6">
        <v>27729</v>
      </c>
      <c r="U14">
        <v>158.08000000000001</v>
      </c>
      <c r="V14">
        <v>5.8499993668079453E-2</v>
      </c>
      <c r="W14" t="e">
        <v>#N/A</v>
      </c>
      <c r="X14" s="3" t="e">
        <v>#N/A</v>
      </c>
      <c r="Y14" s="3"/>
      <c r="Z14">
        <f t="shared" si="13"/>
        <v>2.6211868718132312</v>
      </c>
      <c r="AH14">
        <v>1986</v>
      </c>
      <c r="AI14">
        <v>15.89</v>
      </c>
      <c r="AJ14">
        <v>12.16</v>
      </c>
      <c r="AL14">
        <v>1986</v>
      </c>
      <c r="AM14">
        <v>14.65</v>
      </c>
      <c r="AN14">
        <v>10.96</v>
      </c>
      <c r="AP14">
        <v>1986</v>
      </c>
      <c r="AQ14" s="15">
        <f t="shared" si="2"/>
        <v>34.989772727272729</v>
      </c>
      <c r="AS14">
        <v>1992</v>
      </c>
      <c r="AT14">
        <v>61366</v>
      </c>
      <c r="AU14">
        <f t="shared" si="14"/>
        <v>-1.7436554319109732E-2</v>
      </c>
      <c r="AW14">
        <f t="shared" si="25"/>
        <v>1992</v>
      </c>
      <c r="AX14">
        <f t="shared" si="6"/>
        <v>0.58466330964197055</v>
      </c>
      <c r="AY14">
        <f t="shared" si="7"/>
        <v>0.54517014304653189</v>
      </c>
      <c r="AZ14" s="10">
        <f t="shared" si="15"/>
        <v>1992</v>
      </c>
      <c r="BA14" s="10">
        <f t="shared" si="16"/>
        <v>0.54517014304653189</v>
      </c>
      <c r="BB14" s="3"/>
      <c r="BC14">
        <f t="shared" si="17"/>
        <v>2000</v>
      </c>
      <c r="BD14">
        <v>11.730833333333335</v>
      </c>
      <c r="BE14">
        <v>18.845833333333335</v>
      </c>
      <c r="BF14">
        <f t="shared" si="8"/>
        <v>0.10364559556159447</v>
      </c>
      <c r="BG14">
        <f t="shared" si="9"/>
        <v>0.1739255548007248</v>
      </c>
      <c r="BH14" s="10">
        <f t="shared" si="18"/>
        <v>2000</v>
      </c>
      <c r="BI14" s="10">
        <f t="shared" si="19"/>
        <v>0.11730833333333335</v>
      </c>
      <c r="BJ14" s="10">
        <f t="shared" si="20"/>
        <v>0.18845833333333334</v>
      </c>
      <c r="BL14">
        <v>2016</v>
      </c>
      <c r="BM14" s="7">
        <v>9.1999999999999993</v>
      </c>
      <c r="BN14" s="10">
        <f t="shared" si="21"/>
        <v>2016</v>
      </c>
      <c r="BO14" s="12">
        <f t="shared" si="22"/>
        <v>9.1360476663356494</v>
      </c>
      <c r="BQ14">
        <v>1954</v>
      </c>
      <c r="BR14">
        <v>21.1</v>
      </c>
      <c r="BS14" t="str">
        <f t="shared" si="26"/>
        <v/>
      </c>
      <c r="BT14" s="1">
        <f t="shared" si="27"/>
        <v>21.1</v>
      </c>
      <c r="BV14">
        <f t="shared" si="23"/>
        <v>1954</v>
      </c>
      <c r="BW14" s="1">
        <v>4.7</v>
      </c>
      <c r="BY14">
        <f t="shared" si="10"/>
        <v>4.7190283400809738</v>
      </c>
      <c r="CE14">
        <v>2016</v>
      </c>
      <c r="CF14">
        <v>6.9900000000000004E-2</v>
      </c>
      <c r="CG14">
        <v>2.8400000000000002E-2</v>
      </c>
      <c r="CH14">
        <v>4.1200000000000001E-2</v>
      </c>
      <c r="CI14">
        <v>0.17949999999999999</v>
      </c>
      <c r="CK14" s="15">
        <f t="shared" si="24"/>
        <v>6.246276067527301E-2</v>
      </c>
      <c r="CL14" s="15">
        <f t="shared" si="11"/>
        <v>2.125124131082412E-2</v>
      </c>
      <c r="CM14" s="15">
        <f t="shared" si="11"/>
        <v>3.3962264150943167E-2</v>
      </c>
      <c r="CN14" s="15">
        <f t="shared" si="11"/>
        <v>0.1713008937437932</v>
      </c>
    </row>
    <row r="15" spans="1:92" x14ac:dyDescent="0.35">
      <c r="A15" s="2">
        <v>1988</v>
      </c>
      <c r="B15">
        <v>49.6</v>
      </c>
      <c r="D15" s="1">
        <f>IF(B15="",D14*C15/C14,B15)</f>
        <v>49.6</v>
      </c>
      <c r="E15" s="10">
        <f t="shared" ref="E15:E53" si="28">A15</f>
        <v>1988</v>
      </c>
      <c r="F15" s="11">
        <f t="shared" ref="F15:F53" si="29">D15</f>
        <v>49.6</v>
      </c>
      <c r="H15">
        <v>3.76</v>
      </c>
      <c r="I15">
        <v>4.1399999999999997</v>
      </c>
      <c r="J15" s="14"/>
      <c r="K15">
        <f t="shared" si="12"/>
        <v>2008</v>
      </c>
      <c r="L15">
        <v>137.95355225833336</v>
      </c>
      <c r="M15">
        <v>99.610797120302536</v>
      </c>
      <c r="N15" s="1">
        <f t="shared" si="3"/>
        <v>137.95355225833336</v>
      </c>
      <c r="O15" s="1">
        <f t="shared" si="0"/>
        <v>162.87314316214093</v>
      </c>
      <c r="P15" s="10">
        <f t="shared" si="4"/>
        <v>2008</v>
      </c>
      <c r="Q15" s="11">
        <f t="shared" si="5"/>
        <v>162.87314316214093</v>
      </c>
      <c r="S15">
        <f t="shared" si="1"/>
        <v>1976</v>
      </c>
      <c r="T15" s="6">
        <v>28095</v>
      </c>
      <c r="U15">
        <v>151.96</v>
      </c>
      <c r="V15">
        <v>7.4200000000000002E-2</v>
      </c>
      <c r="W15" t="e">
        <v>#N/A</v>
      </c>
      <c r="X15" s="3" t="e">
        <v>#N/A</v>
      </c>
      <c r="Y15" s="3"/>
      <c r="Z15">
        <f t="shared" si="13"/>
        <v>1.0197854187692941</v>
      </c>
      <c r="AH15">
        <v>1987</v>
      </c>
      <c r="AI15">
        <v>13.58</v>
      </c>
      <c r="AJ15">
        <v>10.050000000000001</v>
      </c>
      <c r="AL15">
        <v>1987</v>
      </c>
      <c r="AM15">
        <v>11.67</v>
      </c>
      <c r="AN15">
        <v>8.1999999999999993</v>
      </c>
      <c r="AP15">
        <v>1987</v>
      </c>
      <c r="AQ15" s="15">
        <f t="shared" si="2"/>
        <v>11.600454545454545</v>
      </c>
      <c r="AS15">
        <v>1993</v>
      </c>
      <c r="AT15">
        <v>62333</v>
      </c>
      <c r="AU15">
        <f t="shared" si="14"/>
        <v>1.5757911547110703E-2</v>
      </c>
      <c r="AW15">
        <f t="shared" si="25"/>
        <v>1993</v>
      </c>
      <c r="AX15">
        <f t="shared" si="6"/>
        <v>0.60083840743300698</v>
      </c>
      <c r="AY15">
        <f t="shared" si="7"/>
        <v>0.56906604209464184</v>
      </c>
      <c r="AZ15" s="10">
        <f t="shared" si="15"/>
        <v>1993</v>
      </c>
      <c r="BA15" s="10">
        <f t="shared" si="16"/>
        <v>0.56906604209464184</v>
      </c>
      <c r="BB15" s="3"/>
      <c r="BC15">
        <f t="shared" si="17"/>
        <v>2001</v>
      </c>
      <c r="BD15">
        <v>11.916666666666666</v>
      </c>
      <c r="BE15">
        <v>17.802499999999998</v>
      </c>
      <c r="BF15">
        <f t="shared" si="8"/>
        <v>0.10564653243847877</v>
      </c>
      <c r="BG15">
        <f t="shared" si="9"/>
        <v>0.16379382550335553</v>
      </c>
      <c r="BH15" s="10">
        <f t="shared" si="18"/>
        <v>2001</v>
      </c>
      <c r="BI15" s="10">
        <f t="shared" si="19"/>
        <v>0.11916666666666666</v>
      </c>
      <c r="BJ15" s="10">
        <f t="shared" si="20"/>
        <v>0.17802499999999999</v>
      </c>
      <c r="BL15">
        <v>2017</v>
      </c>
      <c r="BM15" s="7">
        <v>9.5399999999999991</v>
      </c>
      <c r="BN15" s="10">
        <f t="shared" si="21"/>
        <v>2017</v>
      </c>
      <c r="BO15" s="12">
        <f t="shared" si="22"/>
        <v>9.2263056092843314</v>
      </c>
      <c r="BQ15">
        <v>1955</v>
      </c>
      <c r="BR15">
        <v>21.9</v>
      </c>
      <c r="BS15" t="str">
        <f t="shared" si="26"/>
        <v/>
      </c>
      <c r="BT15" s="1">
        <f t="shared" si="27"/>
        <v>21.9</v>
      </c>
      <c r="BV15">
        <f t="shared" si="23"/>
        <v>1955</v>
      </c>
      <c r="BW15" s="1">
        <v>4.8</v>
      </c>
      <c r="BY15">
        <f t="shared" si="10"/>
        <v>4.8194331983805689</v>
      </c>
      <c r="CE15">
        <v>2017</v>
      </c>
      <c r="CF15">
        <v>4.5699999999999998E-2</v>
      </c>
      <c r="CG15">
        <v>2.58E-2</v>
      </c>
      <c r="CH15">
        <v>3.7699999999999997E-2</v>
      </c>
      <c r="CI15">
        <v>0.17949999999999999</v>
      </c>
      <c r="CK15" s="15">
        <f t="shared" si="24"/>
        <v>1.8394487427466188E-2</v>
      </c>
      <c r="CL15" s="15">
        <f t="shared" si="11"/>
        <v>-9.8588007736943872E-4</v>
      </c>
      <c r="CM15" s="15">
        <f t="shared" si="11"/>
        <v>1.0603384912959424E-2</v>
      </c>
      <c r="CN15" s="15">
        <f t="shared" si="11"/>
        <v>0.14870067698259182</v>
      </c>
    </row>
    <row r="16" spans="1:92" x14ac:dyDescent="0.35">
      <c r="A16" s="2">
        <v>1989</v>
      </c>
      <c r="B16">
        <v>52.2</v>
      </c>
      <c r="D16" s="1">
        <f>IF(B16="",D15*C16/C15,B16)</f>
        <v>52.2</v>
      </c>
      <c r="E16" s="10">
        <f t="shared" si="28"/>
        <v>1989</v>
      </c>
      <c r="F16" s="11">
        <f t="shared" si="29"/>
        <v>52.2</v>
      </c>
      <c r="G16" s="14">
        <f t="shared" ref="G16:G53" si="30">F16/F15</f>
        <v>1.0524193548387097</v>
      </c>
      <c r="H16">
        <v>5.24</v>
      </c>
      <c r="I16">
        <v>4.82</v>
      </c>
      <c r="J16" s="14"/>
      <c r="K16">
        <f t="shared" si="12"/>
        <v>2009</v>
      </c>
      <c r="L16">
        <v>139.75198985833336</v>
      </c>
      <c r="M16">
        <v>102.21809660240783</v>
      </c>
      <c r="N16" s="1">
        <f t="shared" si="3"/>
        <v>139.75198985833336</v>
      </c>
      <c r="O16" s="1">
        <f t="shared" si="0"/>
        <v>161.37643170708242</v>
      </c>
      <c r="P16" s="10">
        <f t="shared" si="4"/>
        <v>2009</v>
      </c>
      <c r="Q16" s="11">
        <f t="shared" si="5"/>
        <v>161.37643170708242</v>
      </c>
      <c r="S16">
        <f t="shared" si="1"/>
        <v>1977</v>
      </c>
      <c r="T16" s="6">
        <v>28460</v>
      </c>
      <c r="U16">
        <v>214.53</v>
      </c>
      <c r="V16">
        <v>5.380000884724747E-2</v>
      </c>
      <c r="W16" t="e">
        <v>#N/A</v>
      </c>
      <c r="X16" s="3" t="e">
        <v>#N/A</v>
      </c>
      <c r="Y16" s="3"/>
      <c r="Z16">
        <f t="shared" si="13"/>
        <v>1.4859530929191893</v>
      </c>
      <c r="AH16">
        <v>1988</v>
      </c>
      <c r="AI16">
        <v>8.91</v>
      </c>
      <c r="AJ16">
        <v>4.97</v>
      </c>
      <c r="AL16">
        <v>1988</v>
      </c>
      <c r="AM16">
        <v>9.98</v>
      </c>
      <c r="AN16">
        <v>6</v>
      </c>
      <c r="AP16">
        <v>1988</v>
      </c>
      <c r="AQ16" s="15">
        <f t="shared" si="2"/>
        <v>16.421136363636364</v>
      </c>
      <c r="AS16">
        <v>1994</v>
      </c>
      <c r="AT16">
        <v>64787</v>
      </c>
      <c r="AU16">
        <f t="shared" si="14"/>
        <v>3.9369194487671066E-2</v>
      </c>
      <c r="AW16">
        <f t="shared" si="25"/>
        <v>1994</v>
      </c>
      <c r="AX16">
        <f t="shared" si="6"/>
        <v>0.51437363384064505</v>
      </c>
      <c r="AY16">
        <f t="shared" si="7"/>
        <v>0.47606358655598568</v>
      </c>
      <c r="AZ16" s="10">
        <f t="shared" si="15"/>
        <v>1994</v>
      </c>
      <c r="BA16" s="10">
        <f t="shared" si="16"/>
        <v>0.47606358655598568</v>
      </c>
      <c r="BB16" s="3"/>
      <c r="BC16">
        <f t="shared" si="17"/>
        <v>2002</v>
      </c>
      <c r="BD16">
        <v>10.499166666666666</v>
      </c>
      <c r="BE16">
        <v>15.925000000000002</v>
      </c>
      <c r="BF16">
        <f t="shared" si="8"/>
        <v>9.0356015452538685E-2</v>
      </c>
      <c r="BG16">
        <f t="shared" si="9"/>
        <v>0.14389569536423852</v>
      </c>
      <c r="BH16" s="10">
        <f t="shared" si="18"/>
        <v>2002</v>
      </c>
      <c r="BI16" s="10">
        <f t="shared" si="19"/>
        <v>0.10499166666666665</v>
      </c>
      <c r="BJ16" s="10">
        <f t="shared" si="20"/>
        <v>0.15925000000000003</v>
      </c>
      <c r="BL16">
        <v>2018</v>
      </c>
      <c r="BM16" s="7">
        <v>9.93</v>
      </c>
      <c r="BN16" s="10">
        <f t="shared" si="21"/>
        <v>2018</v>
      </c>
      <c r="BO16" s="12">
        <f t="shared" si="22"/>
        <v>9.3767705382436262</v>
      </c>
      <c r="BQ16">
        <v>1956</v>
      </c>
      <c r="BR16">
        <v>22.3</v>
      </c>
      <c r="BS16" t="str">
        <f t="shared" si="26"/>
        <v/>
      </c>
      <c r="BT16" s="1">
        <f t="shared" si="27"/>
        <v>22.3</v>
      </c>
      <c r="BV16">
        <f t="shared" si="23"/>
        <v>1956</v>
      </c>
      <c r="BW16" s="1">
        <v>5.0999999999999996</v>
      </c>
      <c r="BY16">
        <f t="shared" si="10"/>
        <v>5.1206477732793543</v>
      </c>
      <c r="CE16">
        <v>2018</v>
      </c>
      <c r="CF16">
        <v>3.1399999999999997E-2</v>
      </c>
      <c r="CG16">
        <v>2.5000000000000001E-2</v>
      </c>
      <c r="CH16">
        <v>3.7999999999999999E-2</v>
      </c>
      <c r="CI16">
        <v>0.18290000000000001</v>
      </c>
      <c r="CK16" s="15">
        <f t="shared" si="24"/>
        <v>7.0515580736545402E-3</v>
      </c>
      <c r="CL16" s="15">
        <f t="shared" si="11"/>
        <v>8.0264400377694223E-4</v>
      </c>
      <c r="CM16" s="15">
        <f t="shared" si="11"/>
        <v>1.3495750708215182E-2</v>
      </c>
      <c r="CN16" s="15">
        <f t="shared" si="11"/>
        <v>0.15497507082152984</v>
      </c>
    </row>
    <row r="17" spans="1:92" x14ac:dyDescent="0.35">
      <c r="A17" s="2">
        <v>1990</v>
      </c>
      <c r="B17">
        <v>55.9</v>
      </c>
      <c r="D17" s="1">
        <f>IF(B17="",D16*C17/C16,B17)</f>
        <v>55.9</v>
      </c>
      <c r="E17" s="10">
        <f t="shared" si="28"/>
        <v>1990</v>
      </c>
      <c r="F17" s="11">
        <f t="shared" si="29"/>
        <v>55.9</v>
      </c>
      <c r="G17" s="14">
        <f t="shared" si="30"/>
        <v>1.0708812260536398</v>
      </c>
      <c r="H17">
        <v>6.97</v>
      </c>
      <c r="I17">
        <v>5.4</v>
      </c>
      <c r="J17" s="14"/>
      <c r="K17">
        <f t="shared" si="12"/>
        <v>2010</v>
      </c>
      <c r="L17">
        <v>142.72824766666668</v>
      </c>
      <c r="M17">
        <v>102.63308667552931</v>
      </c>
      <c r="N17" s="1">
        <f t="shared" si="3"/>
        <v>142.72824766666668</v>
      </c>
      <c r="O17" s="1">
        <f t="shared" si="0"/>
        <v>159.65128374347503</v>
      </c>
      <c r="P17" s="10">
        <f t="shared" si="4"/>
        <v>2010</v>
      </c>
      <c r="Q17" s="11">
        <f t="shared" si="5"/>
        <v>159.65128374347503</v>
      </c>
      <c r="S17">
        <f t="shared" si="1"/>
        <v>1978</v>
      </c>
      <c r="T17" s="6">
        <v>28825</v>
      </c>
      <c r="U17">
        <v>220.22</v>
      </c>
      <c r="V17">
        <v>5.5100008154118613E-2</v>
      </c>
      <c r="W17" t="e">
        <v>#N/A</v>
      </c>
      <c r="X17" s="3" t="e">
        <v>#N/A</v>
      </c>
      <c r="Y17" s="3"/>
      <c r="Z17">
        <f t="shared" si="13"/>
        <v>1.0803231058499976</v>
      </c>
      <c r="AH17">
        <v>1989</v>
      </c>
      <c r="AI17">
        <v>6.47</v>
      </c>
      <c r="AJ17">
        <v>1.17</v>
      </c>
      <c r="AL17">
        <v>1989</v>
      </c>
      <c r="AM17">
        <v>8.16</v>
      </c>
      <c r="AN17">
        <v>2.78</v>
      </c>
      <c r="AP17">
        <v>1989</v>
      </c>
      <c r="AQ17" s="15">
        <f t="shared" si="2"/>
        <v>11.412954545454546</v>
      </c>
      <c r="AS17">
        <v>1995</v>
      </c>
      <c r="AT17">
        <v>65644</v>
      </c>
      <c r="AU17">
        <f t="shared" si="14"/>
        <v>1.3227962399864124E-2</v>
      </c>
      <c r="AW17">
        <f t="shared" si="25"/>
        <v>1995</v>
      </c>
      <c r="AX17">
        <f t="shared" si="6"/>
        <v>0.61816468908407285</v>
      </c>
      <c r="AY17">
        <f t="shared" si="7"/>
        <v>0.58053295212862932</v>
      </c>
      <c r="AZ17" s="10">
        <f t="shared" si="15"/>
        <v>1995</v>
      </c>
      <c r="BA17" s="10">
        <f t="shared" si="16"/>
        <v>0.58053295212862932</v>
      </c>
      <c r="BB17" s="3"/>
      <c r="BC17">
        <f t="shared" si="17"/>
        <v>2003</v>
      </c>
      <c r="BD17">
        <v>8.4600000000000009</v>
      </c>
      <c r="BE17">
        <v>15.108333333333334</v>
      </c>
      <c r="BF17">
        <f t="shared" si="8"/>
        <v>7.0422222222222164E-2</v>
      </c>
      <c r="BG17">
        <f t="shared" si="9"/>
        <v>0.13603649237472748</v>
      </c>
      <c r="BH17" s="10">
        <f t="shared" si="18"/>
        <v>2003</v>
      </c>
      <c r="BI17" s="10">
        <f t="shared" si="19"/>
        <v>8.4600000000000009E-2</v>
      </c>
      <c r="BJ17" s="10">
        <f t="shared" si="20"/>
        <v>0.15108333333333335</v>
      </c>
      <c r="BL17">
        <v>2019</v>
      </c>
      <c r="BM17" s="7">
        <v>10.36</v>
      </c>
      <c r="BN17" s="10">
        <f t="shared" si="21"/>
        <v>2019</v>
      </c>
      <c r="BO17" s="12">
        <f t="shared" si="22"/>
        <v>9.6103896103896105</v>
      </c>
      <c r="BQ17">
        <v>1957</v>
      </c>
      <c r="BR17">
        <v>22.7</v>
      </c>
      <c r="BS17" t="str">
        <f t="shared" si="26"/>
        <v/>
      </c>
      <c r="BT17" s="1">
        <f t="shared" si="27"/>
        <v>22.7</v>
      </c>
      <c r="BV17">
        <f t="shared" si="23"/>
        <v>1957</v>
      </c>
      <c r="BW17" s="1">
        <v>5.2</v>
      </c>
      <c r="BY17">
        <f t="shared" si="10"/>
        <v>5.2210526315789503</v>
      </c>
      <c r="CE17">
        <v>2019</v>
      </c>
      <c r="CF17">
        <v>9.9000000000000008E-3</v>
      </c>
      <c r="CG17">
        <v>2.4400000000000002E-2</v>
      </c>
      <c r="CH17">
        <v>3.6499999999999998E-2</v>
      </c>
      <c r="CI17">
        <v>0.1991</v>
      </c>
      <c r="CK17" s="15">
        <f t="shared" si="24"/>
        <v>-7.899721706864371E-3</v>
      </c>
      <c r="CL17" s="15">
        <f t="shared" si="11"/>
        <v>6.3447124304267799E-3</v>
      </c>
      <c r="CM17" s="15">
        <f t="shared" si="11"/>
        <v>1.8231447124304356E-2</v>
      </c>
      <c r="CN17" s="15">
        <f t="shared" si="11"/>
        <v>0.17796558441558474</v>
      </c>
    </row>
    <row r="18" spans="1:92" x14ac:dyDescent="0.35">
      <c r="A18" s="2">
        <v>1991</v>
      </c>
      <c r="B18">
        <v>60.1</v>
      </c>
      <c r="D18" s="1">
        <f>IF(B18="",D17*C18/C17,B18)</f>
        <v>60.1</v>
      </c>
      <c r="E18" s="10">
        <f t="shared" si="28"/>
        <v>1991</v>
      </c>
      <c r="F18" s="11">
        <f t="shared" si="29"/>
        <v>60.1</v>
      </c>
      <c r="G18" s="14">
        <f t="shared" si="30"/>
        <v>1.075134168157424</v>
      </c>
      <c r="H18">
        <v>7.53</v>
      </c>
      <c r="I18">
        <v>4.21</v>
      </c>
      <c r="J18" s="14"/>
      <c r="K18">
        <f t="shared" si="12"/>
        <v>2011</v>
      </c>
      <c r="L18">
        <v>145.29421690833337</v>
      </c>
      <c r="M18">
        <v>104.63101072102276</v>
      </c>
      <c r="N18" s="1">
        <f t="shared" si="3"/>
        <v>145.29421690833337</v>
      </c>
      <c r="O18" s="1">
        <f t="shared" si="0"/>
        <v>155.56126007316206</v>
      </c>
      <c r="P18" s="10">
        <f t="shared" si="4"/>
        <v>2011</v>
      </c>
      <c r="Q18" s="11">
        <f t="shared" si="5"/>
        <v>155.56126007316206</v>
      </c>
      <c r="S18">
        <f t="shared" si="1"/>
        <v>1979</v>
      </c>
      <c r="T18" s="6">
        <v>29190</v>
      </c>
      <c r="U18">
        <v>229.79</v>
      </c>
      <c r="V18">
        <v>6.92000159375952E-2</v>
      </c>
      <c r="W18" t="e">
        <v>#N/A</v>
      </c>
      <c r="X18" s="3" t="e">
        <v>#N/A</v>
      </c>
      <c r="Y18" s="3"/>
      <c r="Z18">
        <f t="shared" si="13"/>
        <v>1.0985565516106621</v>
      </c>
      <c r="AH18">
        <v>1990</v>
      </c>
      <c r="AI18">
        <v>0.37</v>
      </c>
      <c r="AJ18">
        <v>-6.17</v>
      </c>
      <c r="AL18">
        <v>1990</v>
      </c>
      <c r="AM18">
        <v>4.2300000000000004</v>
      </c>
      <c r="AN18">
        <v>-2.56</v>
      </c>
      <c r="AP18">
        <v>1990</v>
      </c>
      <c r="AQ18" s="15">
        <f t="shared" si="2"/>
        <v>-18.080454545454543</v>
      </c>
      <c r="AS18">
        <v>1996</v>
      </c>
      <c r="AT18">
        <v>70626</v>
      </c>
      <c r="AU18">
        <f t="shared" si="14"/>
        <v>7.5894217293278832E-2</v>
      </c>
      <c r="AW18">
        <f t="shared" si="25"/>
        <v>1996</v>
      </c>
      <c r="AX18">
        <f t="shared" si="6"/>
        <v>0.60609871055529652</v>
      </c>
      <c r="AY18">
        <f t="shared" si="7"/>
        <v>0.57631371306996315</v>
      </c>
      <c r="AZ18" s="10">
        <f t="shared" si="15"/>
        <v>1996</v>
      </c>
      <c r="BA18" s="10">
        <f t="shared" si="16"/>
        <v>0.57631371306996315</v>
      </c>
      <c r="BB18" s="3"/>
      <c r="BC18">
        <f t="shared" si="17"/>
        <v>2004</v>
      </c>
      <c r="BD18">
        <v>8.0033333333333356</v>
      </c>
      <c r="BE18">
        <v>15.61916666666667</v>
      </c>
      <c r="BF18">
        <f t="shared" si="8"/>
        <v>5.7907170294494437E-2</v>
      </c>
      <c r="BG18">
        <f t="shared" si="9"/>
        <v>0.13250528169014109</v>
      </c>
      <c r="BH18" s="10">
        <f t="shared" si="18"/>
        <v>2004</v>
      </c>
      <c r="BI18" s="10">
        <f t="shared" si="19"/>
        <v>8.0033333333333359E-2</v>
      </c>
      <c r="BJ18" s="10">
        <f t="shared" si="20"/>
        <v>0.1561916666666667</v>
      </c>
      <c r="BL18">
        <v>2020</v>
      </c>
      <c r="BM18" s="7">
        <v>10.84</v>
      </c>
      <c r="BN18" s="10">
        <f t="shared" si="21"/>
        <v>2020</v>
      </c>
      <c r="BO18" s="12">
        <f t="shared" si="22"/>
        <v>9.9724011039558409</v>
      </c>
      <c r="BQ18">
        <v>1958</v>
      </c>
      <c r="BR18">
        <v>23</v>
      </c>
      <c r="BS18" t="str">
        <f t="shared" si="26"/>
        <v/>
      </c>
      <c r="BT18" s="1">
        <f t="shared" si="27"/>
        <v>23</v>
      </c>
      <c r="BV18">
        <f t="shared" si="23"/>
        <v>1958</v>
      </c>
      <c r="BW18" s="1">
        <v>5.4</v>
      </c>
      <c r="BY18">
        <f t="shared" si="10"/>
        <v>5.4218623481781414</v>
      </c>
      <c r="CE18">
        <v>2020</v>
      </c>
      <c r="CF18">
        <v>2.87E-2</v>
      </c>
      <c r="CG18">
        <v>2.1999999999999999E-2</v>
      </c>
      <c r="CH18">
        <v>3.5099999999999999E-2</v>
      </c>
      <c r="CI18">
        <v>0.2072</v>
      </c>
      <c r="CK18" s="15">
        <f t="shared" si="24"/>
        <v>2.0182704691812381E-2</v>
      </c>
      <c r="CL18" s="15">
        <f t="shared" si="11"/>
        <v>1.3538178472861206E-2</v>
      </c>
      <c r="CM18" s="15">
        <f t="shared" si="11"/>
        <v>2.6529714811407423E-2</v>
      </c>
      <c r="CN18" s="15">
        <f t="shared" si="11"/>
        <v>0.1972047838086477</v>
      </c>
    </row>
    <row r="19" spans="1:92" x14ac:dyDescent="0.35">
      <c r="A19" s="2">
        <v>1992</v>
      </c>
      <c r="B19">
        <v>62.6</v>
      </c>
      <c r="D19" s="1">
        <f t="shared" ref="D19:D25" si="31">IF(B19="",D18*C19/C18,B19)</f>
        <v>62.6</v>
      </c>
      <c r="E19" s="10">
        <f t="shared" si="28"/>
        <v>1992</v>
      </c>
      <c r="F19" s="11">
        <f t="shared" si="29"/>
        <v>62.6</v>
      </c>
      <c r="G19" s="14">
        <f t="shared" si="30"/>
        <v>1.0415973377703827</v>
      </c>
      <c r="H19">
        <v>4.26</v>
      </c>
      <c r="I19">
        <v>3.01</v>
      </c>
      <c r="J19" s="14"/>
      <c r="K19">
        <f t="shared" si="12"/>
        <v>2012</v>
      </c>
      <c r="L19">
        <v>147.205185575</v>
      </c>
      <c r="M19">
        <v>104.21042021029714</v>
      </c>
      <c r="N19" s="1">
        <f t="shared" si="3"/>
        <v>147.205185575</v>
      </c>
      <c r="O19" s="1">
        <f t="shared" si="0"/>
        <v>153.17917333506765</v>
      </c>
      <c r="P19" s="10">
        <f t="shared" si="4"/>
        <v>2012</v>
      </c>
      <c r="Q19" s="11">
        <f t="shared" si="5"/>
        <v>153.17917333506765</v>
      </c>
      <c r="S19">
        <f t="shared" si="1"/>
        <v>1980</v>
      </c>
      <c r="T19" s="6">
        <v>29556</v>
      </c>
      <c r="U19">
        <v>291.99</v>
      </c>
      <c r="V19">
        <v>5.9400006195417653E-2</v>
      </c>
      <c r="W19" t="e">
        <v>#N/A</v>
      </c>
      <c r="X19" s="3" t="e">
        <v>#N/A</v>
      </c>
      <c r="Y19" s="3"/>
      <c r="Z19">
        <f t="shared" si="13"/>
        <v>1.3398819429144002</v>
      </c>
      <c r="AC19">
        <v>32.799999999999997</v>
      </c>
      <c r="AD19">
        <v>15.33</v>
      </c>
      <c r="AE19">
        <v>27.72</v>
      </c>
      <c r="AF19">
        <v>12.5</v>
      </c>
      <c r="AH19">
        <v>1991</v>
      </c>
      <c r="AI19">
        <v>21.47</v>
      </c>
      <c r="AJ19">
        <v>12.96</v>
      </c>
      <c r="AL19">
        <v>1991</v>
      </c>
      <c r="AM19">
        <v>19.73</v>
      </c>
      <c r="AN19">
        <v>11.35</v>
      </c>
      <c r="AP19">
        <v>1991</v>
      </c>
      <c r="AQ19" s="15">
        <f t="shared" si="2"/>
        <v>13.510454545454547</v>
      </c>
      <c r="AS19">
        <v>1997</v>
      </c>
      <c r="AT19">
        <v>76103</v>
      </c>
      <c r="AU19">
        <f t="shared" si="14"/>
        <v>7.754934443406114E-2</v>
      </c>
      <c r="AW19">
        <f t="shared" si="25"/>
        <v>1997</v>
      </c>
      <c r="AX19">
        <f t="shared" si="6"/>
        <v>0.65429421288617917</v>
      </c>
      <c r="AY19">
        <f t="shared" si="7"/>
        <v>0.62873629667585851</v>
      </c>
      <c r="AZ19" s="10">
        <f t="shared" si="15"/>
        <v>1997</v>
      </c>
      <c r="BA19" s="10">
        <f t="shared" si="16"/>
        <v>0.62873629667585851</v>
      </c>
      <c r="BB19" s="3"/>
      <c r="BC19">
        <f t="shared" si="17"/>
        <v>2005</v>
      </c>
      <c r="BD19">
        <v>7.37</v>
      </c>
      <c r="BE19">
        <v>16.120833333333334</v>
      </c>
      <c r="BF19">
        <f t="shared" si="8"/>
        <v>4.9511514392991174E-2</v>
      </c>
      <c r="BG19">
        <f t="shared" si="9"/>
        <v>0.13504844597413435</v>
      </c>
      <c r="BH19" s="10">
        <f t="shared" si="18"/>
        <v>2005</v>
      </c>
      <c r="BI19" s="10">
        <f t="shared" si="19"/>
        <v>7.3700000000000002E-2</v>
      </c>
      <c r="BJ19" s="10">
        <f t="shared" si="20"/>
        <v>0.16120833333333334</v>
      </c>
      <c r="BL19">
        <v>2021</v>
      </c>
      <c r="BM19" s="7">
        <v>11.08</v>
      </c>
      <c r="BN19" s="10">
        <f t="shared" si="21"/>
        <v>2021</v>
      </c>
      <c r="BO19" s="12">
        <f t="shared" si="22"/>
        <v>9.9283154121863806</v>
      </c>
      <c r="BQ19">
        <v>1959</v>
      </c>
      <c r="BR19">
        <v>24</v>
      </c>
      <c r="BS19" t="str">
        <f t="shared" si="26"/>
        <v/>
      </c>
      <c r="BT19" s="1">
        <f t="shared" si="27"/>
        <v>24</v>
      </c>
      <c r="BV19">
        <f t="shared" si="23"/>
        <v>1959</v>
      </c>
      <c r="BW19" s="1">
        <v>5.4</v>
      </c>
      <c r="BY19">
        <f t="shared" si="10"/>
        <v>5.4218623481781414</v>
      </c>
      <c r="CE19">
        <v>2021</v>
      </c>
      <c r="CF19">
        <v>8.14E-2</v>
      </c>
      <c r="CG19">
        <v>2.06E-2</v>
      </c>
      <c r="CH19">
        <v>3.78E-2</v>
      </c>
      <c r="CI19">
        <v>0.2135</v>
      </c>
      <c r="CK19" s="15">
        <f t="shared" si="24"/>
        <v>5.3299103942652248E-2</v>
      </c>
      <c r="CL19" s="15">
        <f t="shared" si="11"/>
        <v>-5.9209677419354012E-3</v>
      </c>
      <c r="CM19" s="15">
        <f t="shared" si="11"/>
        <v>1.0832078853046712E-2</v>
      </c>
      <c r="CN19" s="15">
        <f t="shared" si="11"/>
        <v>0.18196639784946256</v>
      </c>
    </row>
    <row r="20" spans="1:92" x14ac:dyDescent="0.35">
      <c r="A20" s="2">
        <v>1993</v>
      </c>
      <c r="B20">
        <v>64.2</v>
      </c>
      <c r="D20" s="1">
        <f t="shared" si="31"/>
        <v>64.2</v>
      </c>
      <c r="E20" s="10">
        <f t="shared" si="28"/>
        <v>1993</v>
      </c>
      <c r="F20" s="11">
        <f t="shared" si="29"/>
        <v>64.2</v>
      </c>
      <c r="G20" s="14">
        <f t="shared" si="30"/>
        <v>1.02555910543131</v>
      </c>
      <c r="H20">
        <v>2.5099999999999998</v>
      </c>
      <c r="I20">
        <v>2.99</v>
      </c>
      <c r="J20" s="14"/>
      <c r="K20">
        <f t="shared" si="12"/>
        <v>2013</v>
      </c>
      <c r="L20">
        <v>149.16706962500001</v>
      </c>
      <c r="M20">
        <v>108.65916009492729</v>
      </c>
      <c r="N20" s="1">
        <f t="shared" si="3"/>
        <v>149.16706962500001</v>
      </c>
      <c r="O20" s="1">
        <f t="shared" si="0"/>
        <v>151.43864936548223</v>
      </c>
      <c r="P20" s="10">
        <f t="shared" si="4"/>
        <v>2013</v>
      </c>
      <c r="Q20" s="11">
        <f t="shared" si="5"/>
        <v>151.43864936548223</v>
      </c>
      <c r="S20">
        <f t="shared" si="1"/>
        <v>1981</v>
      </c>
      <c r="T20" s="6">
        <v>29921</v>
      </c>
      <c r="U20">
        <v>313.12</v>
      </c>
      <c r="V20">
        <v>5.869999390744763E-2</v>
      </c>
      <c r="W20" t="e">
        <v>#N/A</v>
      </c>
      <c r="X20" s="3" t="e">
        <v>#N/A</v>
      </c>
      <c r="Y20" s="3"/>
      <c r="Z20">
        <f t="shared" si="13"/>
        <v>1.1317654981643206</v>
      </c>
      <c r="AC20">
        <v>11.45</v>
      </c>
      <c r="AD20">
        <v>-0.32</v>
      </c>
      <c r="AE20">
        <v>-3.3</v>
      </c>
      <c r="AF20">
        <v>-12.39</v>
      </c>
      <c r="AH20">
        <v>1992</v>
      </c>
      <c r="AI20">
        <v>16.48</v>
      </c>
      <c r="AJ20">
        <v>11.72</v>
      </c>
      <c r="AL20">
        <v>1992</v>
      </c>
      <c r="AM20">
        <v>15.66</v>
      </c>
      <c r="AN20">
        <v>10.93</v>
      </c>
      <c r="AP20">
        <v>1992</v>
      </c>
      <c r="AQ20" s="15">
        <f t="shared" si="2"/>
        <v>-3.411363636363637</v>
      </c>
      <c r="AS20">
        <v>1998</v>
      </c>
      <c r="AT20">
        <v>81774</v>
      </c>
      <c r="AU20">
        <f t="shared" si="14"/>
        <v>7.4517430324691603E-2</v>
      </c>
      <c r="AW20">
        <f t="shared" si="25"/>
        <v>1998</v>
      </c>
      <c r="AX20">
        <f t="shared" si="6"/>
        <v>0.63796146984756863</v>
      </c>
      <c r="AY20">
        <f t="shared" si="7"/>
        <v>0.61751534886472803</v>
      </c>
      <c r="AZ20" s="10">
        <f t="shared" si="15"/>
        <v>1998</v>
      </c>
      <c r="BA20" s="10">
        <f t="shared" si="16"/>
        <v>0.61751534886472803</v>
      </c>
      <c r="BB20" s="3"/>
      <c r="BC20">
        <f t="shared" si="17"/>
        <v>2006</v>
      </c>
      <c r="BD20">
        <v>7.180833333333335</v>
      </c>
      <c r="BE20">
        <v>16.125833333333333</v>
      </c>
      <c r="BF20">
        <f t="shared" si="8"/>
        <v>4.6913029747351453E-2</v>
      </c>
      <c r="BG20">
        <f t="shared" si="9"/>
        <v>0.13428534026079886</v>
      </c>
      <c r="BH20" s="10">
        <f t="shared" si="18"/>
        <v>2006</v>
      </c>
      <c r="BI20" s="10">
        <f t="shared" si="19"/>
        <v>7.1808333333333349E-2</v>
      </c>
      <c r="BJ20" s="10">
        <f t="shared" si="20"/>
        <v>0.16125833333333334</v>
      </c>
      <c r="BL20">
        <v>2022</v>
      </c>
      <c r="BM20" s="7">
        <v>11.92</v>
      </c>
      <c r="BN20" s="10">
        <f t="shared" si="21"/>
        <v>2022</v>
      </c>
      <c r="BO20" s="12">
        <f>BO19*BM4</f>
        <v>10.012761014679809</v>
      </c>
      <c r="BQ20">
        <v>1960</v>
      </c>
      <c r="BR20">
        <v>25.5</v>
      </c>
      <c r="BS20" t="str">
        <f t="shared" si="26"/>
        <v/>
      </c>
      <c r="BT20" s="1">
        <f t="shared" si="27"/>
        <v>25.5</v>
      </c>
      <c r="BV20">
        <f t="shared" si="23"/>
        <v>1960</v>
      </c>
      <c r="BW20" s="1">
        <v>5.5</v>
      </c>
      <c r="BY20">
        <f t="shared" si="10"/>
        <v>5.5222672064777356</v>
      </c>
      <c r="CE20">
        <v>2022</v>
      </c>
      <c r="CF20">
        <v>9.2799999999999994E-2</v>
      </c>
      <c r="CG20">
        <v>2.23E-2</v>
      </c>
      <c r="CH20">
        <v>4.48E-2</v>
      </c>
      <c r="CI20">
        <v>0.21679999999999999</v>
      </c>
      <c r="CK20" s="15">
        <f t="shared" si="24"/>
        <v>2.1074774034510746E-3</v>
      </c>
      <c r="CL20" s="15">
        <f t="shared" si="11"/>
        <v>-6.2541659819227657E-2</v>
      </c>
      <c r="CM20" s="15">
        <f t="shared" si="11"/>
        <v>-4.1908956450287582E-2</v>
      </c>
      <c r="CN20" s="15">
        <f t="shared" si="11"/>
        <v>0.1158165981922763</v>
      </c>
    </row>
    <row r="21" spans="1:92" x14ac:dyDescent="0.35">
      <c r="A21" s="2">
        <v>1994</v>
      </c>
      <c r="B21">
        <v>65.5</v>
      </c>
      <c r="D21" s="1">
        <f t="shared" si="31"/>
        <v>65.5</v>
      </c>
      <c r="E21" s="10">
        <f t="shared" si="28"/>
        <v>1994</v>
      </c>
      <c r="F21" s="11">
        <f t="shared" si="29"/>
        <v>65.5</v>
      </c>
      <c r="G21" s="14">
        <f t="shared" si="30"/>
        <v>1.0202492211838006</v>
      </c>
      <c r="H21">
        <v>1.98</v>
      </c>
      <c r="I21">
        <v>2.56</v>
      </c>
      <c r="J21" s="14"/>
      <c r="K21">
        <f t="shared" si="12"/>
        <v>2014</v>
      </c>
      <c r="L21">
        <v>151.03810470833329</v>
      </c>
      <c r="M21">
        <v>108.84192152633372</v>
      </c>
      <c r="N21" s="1">
        <f t="shared" si="3"/>
        <v>151.03810470833329</v>
      </c>
      <c r="O21" s="1">
        <f t="shared" si="0"/>
        <v>151.03810470833329</v>
      </c>
      <c r="P21" s="10">
        <f t="shared" si="4"/>
        <v>2014</v>
      </c>
      <c r="Q21" s="11">
        <f t="shared" si="5"/>
        <v>151.03810470833329</v>
      </c>
      <c r="S21">
        <f t="shared" si="1"/>
        <v>1982</v>
      </c>
      <c r="T21" s="6">
        <v>30286</v>
      </c>
      <c r="U21">
        <v>382.22</v>
      </c>
      <c r="V21">
        <v>4.8999999999999995E-2</v>
      </c>
      <c r="W21" t="e">
        <v>#N/A</v>
      </c>
      <c r="X21" s="3" t="e">
        <v>#N/A</v>
      </c>
      <c r="Y21" s="3"/>
      <c r="Z21">
        <f t="shared" si="13"/>
        <v>1.2793821604889501</v>
      </c>
      <c r="AC21">
        <v>27.38</v>
      </c>
      <c r="AD21">
        <v>17.82</v>
      </c>
      <c r="AE21">
        <v>11.27</v>
      </c>
      <c r="AF21">
        <v>4.8499999999999996</v>
      </c>
      <c r="AH21">
        <v>1993</v>
      </c>
      <c r="AI21">
        <v>19.27</v>
      </c>
      <c r="AJ21">
        <v>16.350000000000001</v>
      </c>
      <c r="AL21">
        <v>1993</v>
      </c>
      <c r="AM21">
        <v>17.32</v>
      </c>
      <c r="AN21">
        <v>14.45</v>
      </c>
      <c r="AP21">
        <v>1993</v>
      </c>
      <c r="AQ21" s="15">
        <f t="shared" si="2"/>
        <v>19.2925</v>
      </c>
      <c r="AS21">
        <v>1999</v>
      </c>
      <c r="AT21">
        <v>92521.029678404433</v>
      </c>
      <c r="AU21">
        <f t="shared" si="14"/>
        <v>0.13142355367726211</v>
      </c>
      <c r="AW21">
        <f t="shared" si="25"/>
        <v>1999</v>
      </c>
      <c r="AX21">
        <f t="shared" si="6"/>
        <v>0.65408583551107524</v>
      </c>
      <c r="AY21">
        <f t="shared" si="7"/>
        <v>0.64043450812033709</v>
      </c>
      <c r="AZ21" s="10">
        <f t="shared" si="15"/>
        <v>1999</v>
      </c>
      <c r="BA21" s="10">
        <f t="shared" si="16"/>
        <v>0.64043450812033709</v>
      </c>
      <c r="BB21" s="3"/>
      <c r="BC21">
        <f t="shared" si="17"/>
        <v>2007</v>
      </c>
      <c r="BD21">
        <v>7.628333333333333</v>
      </c>
      <c r="BE21">
        <v>15.26</v>
      </c>
      <c r="BF21">
        <f t="shared" si="8"/>
        <v>3.9433018496654926E-2</v>
      </c>
      <c r="BG21">
        <f t="shared" si="9"/>
        <v>0.11313671782762702</v>
      </c>
      <c r="BH21" s="10">
        <f t="shared" si="18"/>
        <v>2007</v>
      </c>
      <c r="BI21" s="10">
        <f t="shared" si="19"/>
        <v>7.6283333333333328E-2</v>
      </c>
      <c r="BJ21" s="10">
        <f t="shared" si="20"/>
        <v>0.15259999999999999</v>
      </c>
      <c r="BQ21">
        <v>1961</v>
      </c>
      <c r="BR21">
        <v>26.2</v>
      </c>
      <c r="BS21" t="str">
        <f t="shared" si="26"/>
        <v/>
      </c>
      <c r="BT21" s="1">
        <f t="shared" si="27"/>
        <v>26.2</v>
      </c>
      <c r="BV21">
        <f t="shared" si="23"/>
        <v>1961</v>
      </c>
      <c r="BW21" s="1">
        <v>5.7</v>
      </c>
      <c r="BY21">
        <f t="shared" si="10"/>
        <v>5.7230769230769258</v>
      </c>
      <c r="CE21">
        <v>2023</v>
      </c>
      <c r="CF21">
        <v>2.8E-3</v>
      </c>
      <c r="CG21">
        <v>2.9600000000000001E-2</v>
      </c>
      <c r="CH21">
        <v>6.4500000000000002E-2</v>
      </c>
      <c r="CI21">
        <v>0.23200000000000001</v>
      </c>
      <c r="CK21" s="15">
        <f t="shared" si="24"/>
        <v>-2.033489798924859E-2</v>
      </c>
      <c r="CL21" s="15">
        <f t="shared" si="11"/>
        <v>5.8468179400377185E-3</v>
      </c>
      <c r="CM21" s="15">
        <f t="shared" si="11"/>
        <v>3.9941664430040769E-2</v>
      </c>
      <c r="CN21" s="15">
        <f t="shared" si="11"/>
        <v>0.2035773889880792</v>
      </c>
    </row>
    <row r="22" spans="1:92" x14ac:dyDescent="0.35">
      <c r="A22" s="2">
        <v>1995</v>
      </c>
      <c r="B22">
        <v>67.2</v>
      </c>
      <c r="D22" s="1">
        <f t="shared" si="31"/>
        <v>67.2</v>
      </c>
      <c r="E22" s="10">
        <f t="shared" si="28"/>
        <v>1995</v>
      </c>
      <c r="F22" s="11">
        <f t="shared" si="29"/>
        <v>67.2</v>
      </c>
      <c r="G22" s="14">
        <f t="shared" si="30"/>
        <v>1.0259541984732825</v>
      </c>
      <c r="H22">
        <v>2.66</v>
      </c>
      <c r="I22">
        <v>2.83</v>
      </c>
      <c r="J22" s="14"/>
      <c r="K22">
        <f t="shared" si="12"/>
        <v>2015</v>
      </c>
      <c r="L22">
        <v>154.63866195833333</v>
      </c>
      <c r="M22">
        <v>111.38886845217409</v>
      </c>
      <c r="N22" s="1">
        <f t="shared" si="3"/>
        <v>154.63866195833333</v>
      </c>
      <c r="O22" s="1">
        <f t="shared" si="0"/>
        <v>154.63866195833333</v>
      </c>
      <c r="P22" s="10">
        <f t="shared" si="4"/>
        <v>2015</v>
      </c>
      <c r="Q22" s="11">
        <f t="shared" si="5"/>
        <v>154.63866195833333</v>
      </c>
      <c r="S22">
        <f t="shared" si="1"/>
        <v>1983</v>
      </c>
      <c r="T22" s="6">
        <v>30651</v>
      </c>
      <c r="U22">
        <v>470.5</v>
      </c>
      <c r="V22">
        <v>4.540001215664187E-2</v>
      </c>
      <c r="W22" t="e">
        <v>#N/A</v>
      </c>
      <c r="X22" s="3" t="e">
        <v>#N/A</v>
      </c>
      <c r="Y22" s="3"/>
      <c r="Z22">
        <f>U22/U21+V21</f>
        <v>1.2799664591073203</v>
      </c>
      <c r="AC22">
        <v>27.07</v>
      </c>
      <c r="AD22">
        <v>21.1</v>
      </c>
      <c r="AE22">
        <v>23.28</v>
      </c>
      <c r="AF22">
        <v>19.440000000000001</v>
      </c>
      <c r="AH22">
        <v>1994</v>
      </c>
      <c r="AI22">
        <v>2.67</v>
      </c>
      <c r="AJ22">
        <v>0.68</v>
      </c>
      <c r="AL22">
        <v>1994</v>
      </c>
      <c r="AM22">
        <v>7.8</v>
      </c>
      <c r="AN22">
        <v>5.71</v>
      </c>
      <c r="AP22">
        <v>1994</v>
      </c>
      <c r="AQ22" s="15">
        <f t="shared" si="2"/>
        <v>2.2761363636363634</v>
      </c>
      <c r="AS22">
        <v>2000</v>
      </c>
      <c r="AT22">
        <v>101550.03115874495</v>
      </c>
      <c r="AU22">
        <f t="shared" si="14"/>
        <v>9.7588640244543168E-2</v>
      </c>
      <c r="AW22">
        <f t="shared" si="25"/>
        <v>2000</v>
      </c>
      <c r="AX22">
        <f t="shared" si="6"/>
        <v>0.52529134369701591</v>
      </c>
      <c r="AY22">
        <f t="shared" si="7"/>
        <v>0.50663968324419928</v>
      </c>
      <c r="AZ22" s="10">
        <f t="shared" si="15"/>
        <v>2000</v>
      </c>
      <c r="BA22" s="10">
        <f t="shared" si="16"/>
        <v>0.50663968324419928</v>
      </c>
      <c r="BB22" s="3"/>
      <c r="BC22">
        <f t="shared" si="17"/>
        <v>2008</v>
      </c>
      <c r="BD22">
        <v>9.0599999999999969</v>
      </c>
      <c r="BE22">
        <v>15.983333333333333</v>
      </c>
      <c r="BF22">
        <f t="shared" si="8"/>
        <v>6.6672286374134027E-2</v>
      </c>
      <c r="BG22">
        <f t="shared" si="9"/>
        <v>0.13438664357197849</v>
      </c>
      <c r="BH22" s="10">
        <f t="shared" si="18"/>
        <v>2008</v>
      </c>
      <c r="BI22" s="10">
        <f t="shared" si="19"/>
        <v>9.0599999999999972E-2</v>
      </c>
      <c r="BJ22" s="10">
        <f t="shared" si="20"/>
        <v>0.15983333333333333</v>
      </c>
      <c r="BQ22">
        <v>1962</v>
      </c>
      <c r="BR22">
        <v>26.5</v>
      </c>
      <c r="BS22" t="str">
        <f t="shared" si="26"/>
        <v/>
      </c>
      <c r="BT22" s="1">
        <f t="shared" si="27"/>
        <v>26.5</v>
      </c>
      <c r="BV22">
        <f t="shared" si="23"/>
        <v>1962</v>
      </c>
      <c r="BW22" s="1">
        <v>5.9</v>
      </c>
      <c r="BY22">
        <f t="shared" si="10"/>
        <v>5.9238866396761161</v>
      </c>
      <c r="CE22">
        <v>2024</v>
      </c>
      <c r="CF22">
        <v>6.1000000000000004E-3</v>
      </c>
      <c r="CG22">
        <v>3.6299999999999999E-2</v>
      </c>
      <c r="CH22">
        <v>6.7000000000000004E-2</v>
      </c>
      <c r="CI22">
        <v>0.24479999999999999</v>
      </c>
      <c r="CK22" s="15">
        <f t="shared" si="24"/>
        <v>-1.0240669253460122E-2</v>
      </c>
      <c r="CL22" s="15">
        <f t="shared" si="11"/>
        <v>1.9468834561812143E-2</v>
      </c>
      <c r="CM22" s="15">
        <f t="shared" si="11"/>
        <v>4.9670217579324216E-2</v>
      </c>
      <c r="CN22" s="15">
        <f t="shared" si="11"/>
        <v>0.22458246189572884</v>
      </c>
    </row>
    <row r="23" spans="1:92" x14ac:dyDescent="0.35">
      <c r="A23" s="2">
        <v>1996</v>
      </c>
      <c r="B23">
        <v>68.8</v>
      </c>
      <c r="D23" s="1">
        <f t="shared" si="31"/>
        <v>68.8</v>
      </c>
      <c r="E23" s="10">
        <f t="shared" si="28"/>
        <v>1996</v>
      </c>
      <c r="F23" s="11">
        <f t="shared" si="29"/>
        <v>68.8</v>
      </c>
      <c r="G23" s="14">
        <f t="shared" si="30"/>
        <v>1.0238095238095237</v>
      </c>
      <c r="H23">
        <v>2.4</v>
      </c>
      <c r="I23">
        <v>2.95</v>
      </c>
      <c r="J23" s="14"/>
      <c r="K23">
        <f t="shared" si="12"/>
        <v>2016</v>
      </c>
      <c r="L23">
        <v>158.30014154999998</v>
      </c>
      <c r="M23">
        <v>113.91753957957239</v>
      </c>
      <c r="N23" s="1">
        <f t="shared" si="3"/>
        <v>158.30014154999998</v>
      </c>
      <c r="O23" s="1">
        <f t="shared" si="0"/>
        <v>157.19974334657394</v>
      </c>
      <c r="P23" s="10">
        <f t="shared" si="4"/>
        <v>2016</v>
      </c>
      <c r="Q23" s="11">
        <f t="shared" si="5"/>
        <v>157.19974334657394</v>
      </c>
      <c r="S23">
        <f t="shared" si="1"/>
        <v>1984</v>
      </c>
      <c r="T23" s="6">
        <v>31017</v>
      </c>
      <c r="U23">
        <v>592.94000000000005</v>
      </c>
      <c r="V23">
        <v>4.4100001595945619E-2</v>
      </c>
      <c r="W23">
        <v>1187.9000000000001</v>
      </c>
      <c r="X23" s="3" t="e">
        <v>#N/A</v>
      </c>
      <c r="Y23" s="3"/>
      <c r="Z23">
        <f>U23/U22+V22</f>
        <v>1.3056338059929862</v>
      </c>
      <c r="AC23">
        <v>28.82</v>
      </c>
      <c r="AD23">
        <v>23.55</v>
      </c>
      <c r="AE23">
        <v>5.77</v>
      </c>
      <c r="AF23">
        <v>1.39</v>
      </c>
      <c r="AH23">
        <v>1995</v>
      </c>
      <c r="AI23">
        <v>7.66</v>
      </c>
      <c r="AJ23">
        <v>4.87</v>
      </c>
      <c r="AL23">
        <v>1995</v>
      </c>
      <c r="AM23">
        <v>10.91</v>
      </c>
      <c r="AN23">
        <v>8.0399999999999991</v>
      </c>
      <c r="AP23">
        <v>1995</v>
      </c>
      <c r="AQ23" s="15">
        <f t="shared" si="2"/>
        <v>16.434545454545457</v>
      </c>
      <c r="AS23">
        <v>2001</v>
      </c>
      <c r="AT23">
        <v>112835.39867487247</v>
      </c>
      <c r="AU23">
        <f t="shared" si="14"/>
        <v>0.1111311083547184</v>
      </c>
      <c r="AW23">
        <f t="shared" si="25"/>
        <v>2001</v>
      </c>
      <c r="AX23">
        <f t="shared" si="6"/>
        <v>0.49030970610989155</v>
      </c>
      <c r="AY23">
        <f t="shared" si="7"/>
        <v>0.47230596469379904</v>
      </c>
      <c r="AZ23" s="10">
        <f t="shared" si="15"/>
        <v>2001</v>
      </c>
      <c r="BA23" s="10">
        <f t="shared" si="16"/>
        <v>0.47230596469379904</v>
      </c>
      <c r="BB23" s="3"/>
      <c r="BC23">
        <f t="shared" si="17"/>
        <v>2009</v>
      </c>
      <c r="BD23">
        <v>10.090833333333332</v>
      </c>
      <c r="BE23">
        <v>16.043333333333333</v>
      </c>
      <c r="BF23">
        <f t="shared" si="8"/>
        <v>6.6427982848620282E-2</v>
      </c>
      <c r="BG23">
        <f t="shared" si="9"/>
        <v>0.12408866517524197</v>
      </c>
      <c r="BH23" s="10">
        <f t="shared" si="18"/>
        <v>2009</v>
      </c>
      <c r="BI23" s="10">
        <f t="shared" si="19"/>
        <v>0.10090833333333332</v>
      </c>
      <c r="BJ23" s="10">
        <f t="shared" si="20"/>
        <v>0.16043333333333332</v>
      </c>
      <c r="BQ23">
        <v>1963</v>
      </c>
      <c r="BR23">
        <v>27.8</v>
      </c>
      <c r="BS23" t="str">
        <f t="shared" si="26"/>
        <v/>
      </c>
      <c r="BT23" s="1">
        <f t="shared" si="27"/>
        <v>27.8</v>
      </c>
      <c r="BV23">
        <f t="shared" si="23"/>
        <v>1963</v>
      </c>
      <c r="BW23" s="1">
        <v>6</v>
      </c>
      <c r="BY23">
        <f t="shared" si="10"/>
        <v>6.0242914979757103</v>
      </c>
      <c r="CE23">
        <v>2025</v>
      </c>
      <c r="CF23">
        <v>2.69E-2</v>
      </c>
      <c r="CG23">
        <v>3.85E-2</v>
      </c>
      <c r="CH23">
        <v>6.6600000000000006E-2</v>
      </c>
      <c r="CI23">
        <v>0.2465</v>
      </c>
      <c r="CK23" s="15">
        <f t="shared" si="24"/>
        <v>7.1249989741419828E-3</v>
      </c>
      <c r="CL23" s="15">
        <f t="shared" si="11"/>
        <v>1.8501617912792367E-2</v>
      </c>
      <c r="CM23" s="15">
        <f t="shared" si="11"/>
        <v>4.6060496548661067E-2</v>
      </c>
      <c r="CN23" s="15">
        <f t="shared" si="11"/>
        <v>0.22249616439893671</v>
      </c>
    </row>
    <row r="24" spans="1:92" x14ac:dyDescent="0.35">
      <c r="A24" s="2">
        <v>1997</v>
      </c>
      <c r="B24">
        <v>70.099999999999994</v>
      </c>
      <c r="D24" s="1">
        <f t="shared" si="31"/>
        <v>70.099999999999994</v>
      </c>
      <c r="E24" s="10">
        <f t="shared" si="28"/>
        <v>1997</v>
      </c>
      <c r="F24" s="11">
        <f t="shared" si="29"/>
        <v>70.099999999999994</v>
      </c>
      <c r="G24" s="14">
        <f t="shared" si="30"/>
        <v>1.0188953488372092</v>
      </c>
      <c r="H24">
        <v>1.82</v>
      </c>
      <c r="I24">
        <v>2.29</v>
      </c>
      <c r="J24" s="14"/>
      <c r="K24">
        <f t="shared" si="12"/>
        <v>2017</v>
      </c>
      <c r="L24">
        <v>162.26650821666667</v>
      </c>
      <c r="M24">
        <v>117.76275333142682</v>
      </c>
      <c r="N24" s="1">
        <f t="shared" si="3"/>
        <v>162.26650821666667</v>
      </c>
      <c r="O24" s="1">
        <f t="shared" si="0"/>
        <v>156.93085901031591</v>
      </c>
      <c r="P24" s="10">
        <f t="shared" si="4"/>
        <v>2017</v>
      </c>
      <c r="Q24" s="11">
        <f t="shared" si="5"/>
        <v>156.93085901031591</v>
      </c>
      <c r="S24">
        <f t="shared" si="1"/>
        <v>1985</v>
      </c>
      <c r="T24" s="6">
        <v>31382</v>
      </c>
      <c r="U24">
        <v>682.94</v>
      </c>
      <c r="V24">
        <v>4.1999999999999996E-2</v>
      </c>
      <c r="W24">
        <v>1439.6</v>
      </c>
      <c r="X24" s="3">
        <v>3.0299999999999997E-2</v>
      </c>
      <c r="Y24" s="3"/>
      <c r="Z24">
        <f>U24/U23+V23</f>
        <v>1.195886017044389</v>
      </c>
      <c r="AC24">
        <v>21.12</v>
      </c>
      <c r="AD24">
        <v>15.44</v>
      </c>
      <c r="AE24">
        <v>41.77</v>
      </c>
      <c r="AF24">
        <v>36.9</v>
      </c>
      <c r="AH24">
        <v>1996</v>
      </c>
      <c r="AI24">
        <v>11.02</v>
      </c>
      <c r="AJ24">
        <v>8.42</v>
      </c>
      <c r="AL24">
        <v>1996</v>
      </c>
      <c r="AM24">
        <v>9.68</v>
      </c>
      <c r="AN24">
        <v>7.11</v>
      </c>
      <c r="AP24">
        <v>1996</v>
      </c>
      <c r="AQ24" s="15">
        <f t="shared" si="2"/>
        <v>10.430454545454547</v>
      </c>
      <c r="AS24">
        <v>2002</v>
      </c>
      <c r="AT24">
        <v>128265</v>
      </c>
      <c r="AU24">
        <f t="shared" si="14"/>
        <v>0.13674433295163757</v>
      </c>
      <c r="AW24">
        <f t="shared" si="25"/>
        <v>2002</v>
      </c>
      <c r="AX24">
        <f t="shared" si="6"/>
        <v>0.48214865582934319</v>
      </c>
      <c r="AY24">
        <f t="shared" si="7"/>
        <v>0.46251754780511356</v>
      </c>
      <c r="AZ24" s="10">
        <f t="shared" si="15"/>
        <v>2002</v>
      </c>
      <c r="BA24" s="10">
        <f>AY24</f>
        <v>0.46251754780511356</v>
      </c>
      <c r="BB24" s="3"/>
      <c r="BC24">
        <f t="shared" si="17"/>
        <v>2010</v>
      </c>
      <c r="BD24">
        <v>9.2591666666666672</v>
      </c>
      <c r="BE24">
        <v>16.666666666666668</v>
      </c>
      <c r="BF24">
        <f t="shared" si="8"/>
        <v>4.5799732334047105E-2</v>
      </c>
      <c r="BG24">
        <f t="shared" si="9"/>
        <v>0.11670235546038543</v>
      </c>
      <c r="BH24" s="10">
        <f t="shared" si="18"/>
        <v>2010</v>
      </c>
      <c r="BI24" s="10">
        <f t="shared" si="19"/>
        <v>9.2591666666666669E-2</v>
      </c>
      <c r="BJ24" s="10">
        <f t="shared" si="20"/>
        <v>0.16666666666666669</v>
      </c>
      <c r="BQ24">
        <v>1964</v>
      </c>
      <c r="BR24">
        <v>29.4</v>
      </c>
      <c r="BS24" t="str">
        <f t="shared" si="26"/>
        <v/>
      </c>
      <c r="BT24" s="1">
        <f t="shared" si="27"/>
        <v>29.4</v>
      </c>
      <c r="BV24">
        <f t="shared" si="23"/>
        <v>1964</v>
      </c>
      <c r="BW24" s="1">
        <v>6.2</v>
      </c>
      <c r="BY24">
        <f t="shared" si="10"/>
        <v>6.2251012145749014</v>
      </c>
    </row>
    <row r="25" spans="1:92" x14ac:dyDescent="0.35">
      <c r="A25" s="2">
        <v>1998</v>
      </c>
      <c r="B25" s="5">
        <v>71.2</v>
      </c>
      <c r="D25" s="1">
        <f t="shared" si="31"/>
        <v>71.2</v>
      </c>
      <c r="E25" s="10">
        <f t="shared" si="28"/>
        <v>1998</v>
      </c>
      <c r="F25" s="11">
        <f t="shared" si="29"/>
        <v>71.2</v>
      </c>
      <c r="G25" s="14">
        <f t="shared" si="30"/>
        <v>1.015691868758916</v>
      </c>
      <c r="H25">
        <v>1.56</v>
      </c>
      <c r="I25">
        <v>1.56</v>
      </c>
      <c r="J25" s="14"/>
      <c r="K25">
        <f t="shared" si="12"/>
        <v>2018</v>
      </c>
      <c r="L25">
        <v>167.17182320000001</v>
      </c>
      <c r="M25">
        <v>121.12231644345349</v>
      </c>
      <c r="N25" s="1">
        <f t="shared" si="3"/>
        <v>167.17182320000001</v>
      </c>
      <c r="O25" s="1">
        <f t="shared" si="0"/>
        <v>157.85818999055712</v>
      </c>
      <c r="P25" s="10">
        <f t="shared" si="4"/>
        <v>2018</v>
      </c>
      <c r="Q25" s="11">
        <f t="shared" si="5"/>
        <v>157.85818999055712</v>
      </c>
      <c r="S25">
        <f t="shared" si="1"/>
        <v>1986</v>
      </c>
      <c r="T25" s="6">
        <v>31747</v>
      </c>
      <c r="U25">
        <v>835.48</v>
      </c>
      <c r="V25">
        <v>3.9899997736031978E-2</v>
      </c>
      <c r="W25">
        <v>1637.8</v>
      </c>
      <c r="X25" s="3">
        <v>2.87E-2</v>
      </c>
      <c r="Y25" s="3"/>
      <c r="Z25">
        <f>W25/W24+X24</f>
        <v>1.1679771325368158</v>
      </c>
      <c r="AC25">
        <v>24.8</v>
      </c>
      <c r="AD25">
        <v>20.78</v>
      </c>
      <c r="AE25">
        <v>42.8</v>
      </c>
      <c r="AF25">
        <v>40.19</v>
      </c>
      <c r="AH25">
        <v>1997</v>
      </c>
      <c r="AI25">
        <v>13.05</v>
      </c>
      <c r="AJ25">
        <v>11.03</v>
      </c>
      <c r="AL25">
        <v>1997</v>
      </c>
      <c r="AM25">
        <v>13.22</v>
      </c>
      <c r="AN25">
        <v>11.19</v>
      </c>
      <c r="AP25">
        <v>1997</v>
      </c>
      <c r="AQ25" s="15">
        <f t="shared" si="2"/>
        <v>13.836590909090908</v>
      </c>
      <c r="AS25">
        <v>2003</v>
      </c>
      <c r="AT25">
        <v>155627</v>
      </c>
      <c r="AU25">
        <f t="shared" si="14"/>
        <v>0.21332397770241296</v>
      </c>
      <c r="AW25">
        <f t="shared" si="25"/>
        <v>2003</v>
      </c>
      <c r="AX25">
        <f t="shared" si="6"/>
        <v>0.64518236348544655</v>
      </c>
      <c r="AY25">
        <f t="shared" si="7"/>
        <v>0.62367671167517913</v>
      </c>
      <c r="AZ25" s="10">
        <f t="shared" si="15"/>
        <v>2003</v>
      </c>
      <c r="BA25" s="10">
        <f t="shared" si="16"/>
        <v>0.62367671167517913</v>
      </c>
      <c r="BB25" s="3"/>
      <c r="BC25">
        <f t="shared" si="17"/>
        <v>2011</v>
      </c>
      <c r="BD25">
        <v>8.7499999999999982</v>
      </c>
      <c r="BE25">
        <v>16.936666666666664</v>
      </c>
      <c r="BF25">
        <f t="shared" si="8"/>
        <v>5.6945889698231111E-2</v>
      </c>
      <c r="BG25">
        <f t="shared" si="9"/>
        <v>0.13651245230662523</v>
      </c>
      <c r="BH25" s="10">
        <f t="shared" si="18"/>
        <v>2011</v>
      </c>
      <c r="BI25" s="10">
        <f t="shared" si="19"/>
        <v>8.7499999999999981E-2</v>
      </c>
      <c r="BJ25" s="10">
        <f t="shared" si="20"/>
        <v>0.16936666666666664</v>
      </c>
      <c r="BQ25">
        <v>1965</v>
      </c>
      <c r="BR25">
        <v>30</v>
      </c>
      <c r="BS25" t="str">
        <f t="shared" si="26"/>
        <v/>
      </c>
      <c r="BT25" s="1">
        <f t="shared" si="27"/>
        <v>30</v>
      </c>
      <c r="BV25">
        <f t="shared" si="23"/>
        <v>1965</v>
      </c>
      <c r="BW25" s="1">
        <v>6.5</v>
      </c>
      <c r="BY25">
        <f t="shared" si="10"/>
        <v>6.5263157894736867</v>
      </c>
    </row>
    <row r="26" spans="1:92" x14ac:dyDescent="0.35">
      <c r="A26" s="2">
        <v>1999</v>
      </c>
      <c r="B26" s="5">
        <v>72.099999999999994</v>
      </c>
      <c r="D26" s="1">
        <f>IF(B26="",D25*C26/C25,B26)</f>
        <v>72.099999999999994</v>
      </c>
      <c r="E26" s="10">
        <f t="shared" si="28"/>
        <v>1999</v>
      </c>
      <c r="F26" s="11">
        <f t="shared" si="29"/>
        <v>72.099999999999994</v>
      </c>
      <c r="G26" s="14">
        <f t="shared" si="30"/>
        <v>1.0126404494382022</v>
      </c>
      <c r="H26">
        <v>1.33</v>
      </c>
      <c r="I26">
        <v>2.21</v>
      </c>
      <c r="J26" s="14"/>
      <c r="K26">
        <f t="shared" si="12"/>
        <v>2019</v>
      </c>
      <c r="L26">
        <v>172.51387894999996</v>
      </c>
      <c r="M26">
        <v>125.01577370262817</v>
      </c>
      <c r="N26" s="1">
        <f t="shared" si="3"/>
        <v>172.51387894999996</v>
      </c>
      <c r="O26" s="1">
        <f t="shared" si="0"/>
        <v>160.03142759740257</v>
      </c>
      <c r="P26" s="10">
        <f t="shared" si="4"/>
        <v>2019</v>
      </c>
      <c r="Q26" s="11">
        <f t="shared" si="5"/>
        <v>160.03142759740257</v>
      </c>
      <c r="S26">
        <f t="shared" si="1"/>
        <v>1987</v>
      </c>
      <c r="T26" s="6">
        <v>32112</v>
      </c>
      <c r="U26">
        <v>870.22</v>
      </c>
      <c r="V26">
        <v>4.5799997717243912E-2</v>
      </c>
      <c r="W26">
        <v>1591.5</v>
      </c>
      <c r="X26" s="3">
        <v>3.15E-2</v>
      </c>
      <c r="Y26" s="3"/>
      <c r="Z26">
        <f t="shared" ref="Z26:Z50" si="32">W26/W25+X25</f>
        <v>1.0004303700085482</v>
      </c>
      <c r="AC26">
        <v>7.01</v>
      </c>
      <c r="AD26">
        <v>3.69</v>
      </c>
      <c r="AE26">
        <v>16.760000000000002</v>
      </c>
      <c r="AF26">
        <v>12.65</v>
      </c>
      <c r="AH26">
        <v>1998</v>
      </c>
      <c r="AI26">
        <v>17.760000000000002</v>
      </c>
      <c r="AJ26">
        <v>15.95</v>
      </c>
      <c r="AL26">
        <v>1998</v>
      </c>
      <c r="AM26">
        <v>13.08</v>
      </c>
      <c r="AN26">
        <v>11.34</v>
      </c>
      <c r="AP26">
        <v>1998</v>
      </c>
      <c r="AQ26" s="15">
        <f t="shared" si="2"/>
        <v>20.838863636363634</v>
      </c>
      <c r="AS26">
        <v>2004</v>
      </c>
      <c r="AT26">
        <v>180248</v>
      </c>
      <c r="AU26">
        <f t="shared" si="14"/>
        <v>0.15820519575652048</v>
      </c>
      <c r="AW26">
        <f t="shared" si="25"/>
        <v>2004</v>
      </c>
      <c r="AX26">
        <f t="shared" si="6"/>
        <v>0.63612150360294117</v>
      </c>
      <c r="AY26">
        <f t="shared" si="7"/>
        <v>0.60260300929097332</v>
      </c>
      <c r="AZ26" s="10">
        <f t="shared" si="15"/>
        <v>2004</v>
      </c>
      <c r="BA26" s="10">
        <f t="shared" si="16"/>
        <v>0.60260300929097332</v>
      </c>
      <c r="BB26" s="3"/>
      <c r="BC26">
        <f t="shared" si="17"/>
        <v>2012</v>
      </c>
      <c r="BD26">
        <v>7.4383333333333326</v>
      </c>
      <c r="BE26">
        <v>17.374999999999996</v>
      </c>
      <c r="BF26">
        <f t="shared" si="8"/>
        <v>4.8205465313028606E-2</v>
      </c>
      <c r="BG26">
        <f t="shared" si="9"/>
        <v>0.14515101522842655</v>
      </c>
      <c r="BH26" s="10">
        <f t="shared" si="18"/>
        <v>2012</v>
      </c>
      <c r="BI26" s="10">
        <f t="shared" si="19"/>
        <v>7.4383333333333329E-2</v>
      </c>
      <c r="BJ26" s="10">
        <f t="shared" si="20"/>
        <v>0.17374999999999996</v>
      </c>
      <c r="BQ26">
        <v>1966</v>
      </c>
      <c r="BR26">
        <v>30.5</v>
      </c>
      <c r="BS26" t="str">
        <f t="shared" si="26"/>
        <v/>
      </c>
      <c r="BT26" s="1">
        <f t="shared" si="27"/>
        <v>30.5</v>
      </c>
      <c r="BV26">
        <f t="shared" si="23"/>
        <v>1966</v>
      </c>
      <c r="BW26" s="1">
        <v>6.8</v>
      </c>
      <c r="BY26">
        <f t="shared" si="10"/>
        <v>6.8275303643724712</v>
      </c>
    </row>
    <row r="27" spans="1:92" x14ac:dyDescent="0.35">
      <c r="A27" s="2">
        <v>2000</v>
      </c>
      <c r="B27" s="5">
        <v>72.7</v>
      </c>
      <c r="D27" s="1">
        <f t="shared" ref="D27:D53" si="33">IF(B27="",D26*C27/C26,B27)</f>
        <v>72.7</v>
      </c>
      <c r="E27" s="10">
        <f t="shared" si="28"/>
        <v>2000</v>
      </c>
      <c r="F27" s="11">
        <f t="shared" si="29"/>
        <v>72.7</v>
      </c>
      <c r="G27" s="14">
        <f t="shared" si="30"/>
        <v>1.0083217753120668</v>
      </c>
      <c r="H27">
        <v>0.8</v>
      </c>
      <c r="I27">
        <v>3.36</v>
      </c>
      <c r="J27" s="14"/>
      <c r="K27">
        <f t="shared" si="12"/>
        <v>2020</v>
      </c>
      <c r="L27">
        <v>176.22622231091236</v>
      </c>
      <c r="M27">
        <v>139.89513831497041</v>
      </c>
      <c r="N27" s="1">
        <f t="shared" si="3"/>
        <v>176.22622231091236</v>
      </c>
      <c r="O27" s="1">
        <f t="shared" si="0"/>
        <v>162.12163966045293</v>
      </c>
      <c r="P27" s="10">
        <f t="shared" si="4"/>
        <v>2020</v>
      </c>
      <c r="Q27" s="11">
        <f t="shared" si="5"/>
        <v>162.12163966045293</v>
      </c>
      <c r="S27">
        <f>YEAR(T27)</f>
        <v>1988</v>
      </c>
      <c r="T27" s="6">
        <v>32478</v>
      </c>
      <c r="U27">
        <v>926.59</v>
      </c>
      <c r="V27">
        <v>4.5799999999999993E-2</v>
      </c>
      <c r="W27">
        <v>1785.7</v>
      </c>
      <c r="X27" s="3">
        <v>3.5299999999999998E-2</v>
      </c>
      <c r="Y27" s="3"/>
      <c r="Z27">
        <f t="shared" si="32"/>
        <v>1.1535232485076972</v>
      </c>
      <c r="AC27">
        <v>12.26</v>
      </c>
      <c r="AD27">
        <v>8.1999999999999993</v>
      </c>
      <c r="AE27">
        <v>23.95</v>
      </c>
      <c r="AF27">
        <v>19.03</v>
      </c>
      <c r="AH27">
        <v>1999</v>
      </c>
      <c r="AI27">
        <v>8.84</v>
      </c>
      <c r="AJ27">
        <v>7.41</v>
      </c>
      <c r="AL27">
        <v>1999</v>
      </c>
      <c r="AM27">
        <v>8.6</v>
      </c>
      <c r="AN27">
        <v>7.17</v>
      </c>
      <c r="AP27">
        <v>1999</v>
      </c>
      <c r="AQ27" s="15">
        <f t="shared" si="2"/>
        <v>20.487045454545452</v>
      </c>
      <c r="AS27">
        <v>2005</v>
      </c>
      <c r="AT27">
        <v>190760</v>
      </c>
      <c r="AU27">
        <f t="shared" si="14"/>
        <v>5.8319648484310482E-2</v>
      </c>
      <c r="AW27">
        <f t="shared" si="25"/>
        <v>2005</v>
      </c>
      <c r="AX27">
        <f t="shared" si="6"/>
        <v>0.62095345411118053</v>
      </c>
      <c r="AY27">
        <f t="shared" si="7"/>
        <v>0.58443635501981461</v>
      </c>
      <c r="AZ27" s="10">
        <f t="shared" si="15"/>
        <v>2005</v>
      </c>
      <c r="BA27" s="10">
        <f t="shared" si="16"/>
        <v>0.58443635501981461</v>
      </c>
      <c r="BB27" s="3"/>
      <c r="BC27">
        <f t="shared" si="17"/>
        <v>2013</v>
      </c>
      <c r="BD27">
        <v>6.03</v>
      </c>
      <c r="BE27">
        <v>17.914999999999999</v>
      </c>
      <c r="BF27">
        <f t="shared" si="8"/>
        <v>4.4395500000000032E-2</v>
      </c>
      <c r="BG27">
        <f t="shared" si="9"/>
        <v>0.1614627500000001</v>
      </c>
      <c r="BH27" s="10">
        <f t="shared" si="18"/>
        <v>2013</v>
      </c>
      <c r="BI27" s="10">
        <f t="shared" si="19"/>
        <v>6.0299999999999999E-2</v>
      </c>
      <c r="BJ27" s="10">
        <f t="shared" si="20"/>
        <v>0.17915</v>
      </c>
      <c r="BQ27">
        <v>1967</v>
      </c>
      <c r="BR27">
        <v>31.3</v>
      </c>
      <c r="BS27" t="str">
        <f t="shared" si="26"/>
        <v/>
      </c>
      <c r="BT27" s="1">
        <f t="shared" si="27"/>
        <v>31.3</v>
      </c>
      <c r="BV27">
        <f t="shared" si="23"/>
        <v>1967</v>
      </c>
      <c r="BW27" s="1">
        <v>7</v>
      </c>
      <c r="BY27">
        <f t="shared" si="10"/>
        <v>7.0283400809716614</v>
      </c>
    </row>
    <row r="28" spans="1:92" x14ac:dyDescent="0.35">
      <c r="A28" s="2">
        <v>2001</v>
      </c>
      <c r="B28" s="5">
        <v>73.599999999999994</v>
      </c>
      <c r="D28" s="1">
        <f t="shared" si="33"/>
        <v>73.599999999999994</v>
      </c>
      <c r="E28" s="10">
        <f t="shared" si="28"/>
        <v>2001</v>
      </c>
      <c r="F28" s="11">
        <f t="shared" si="29"/>
        <v>73.599999999999994</v>
      </c>
      <c r="G28" s="14">
        <f t="shared" si="30"/>
        <v>1.0123796423658871</v>
      </c>
      <c r="H28">
        <v>1.23</v>
      </c>
      <c r="I28">
        <v>2.85</v>
      </c>
      <c r="J28" s="14"/>
      <c r="K28">
        <f t="shared" si="12"/>
        <v>2021</v>
      </c>
      <c r="L28">
        <v>187.99250402182147</v>
      </c>
      <c r="M28">
        <v>134.80230403533287</v>
      </c>
      <c r="N28" s="1">
        <f t="shared" si="3"/>
        <v>187.99250402182147</v>
      </c>
      <c r="O28" s="1">
        <f t="shared" si="0"/>
        <v>168.45206453568233</v>
      </c>
      <c r="P28" s="10">
        <f t="shared" si="4"/>
        <v>2021</v>
      </c>
      <c r="Q28" s="11">
        <f t="shared" si="5"/>
        <v>168.45206453568233</v>
      </c>
      <c r="S28">
        <f t="shared" ref="S28:S64" si="34">YEAR(T28)</f>
        <v>1989</v>
      </c>
      <c r="T28" s="6">
        <v>32843</v>
      </c>
      <c r="U28">
        <v>1204.7</v>
      </c>
      <c r="V28">
        <v>4.1799995422013778E-2</v>
      </c>
      <c r="W28">
        <v>2297.3000000000002</v>
      </c>
      <c r="X28" s="3">
        <v>3.1800000000000002E-2</v>
      </c>
      <c r="Y28" s="3"/>
      <c r="Z28">
        <f>W28/W27+X27</f>
        <v>1.3217982919863358</v>
      </c>
      <c r="AA28">
        <f t="shared" ref="AA28:AA64" si="35">Z28*F15/F16</f>
        <v>1.255961595450618</v>
      </c>
      <c r="AB28" s="15">
        <f>AA28-1</f>
        <v>0.25596159545061803</v>
      </c>
      <c r="AC28">
        <v>32.93</v>
      </c>
      <c r="AD28">
        <v>26.31</v>
      </c>
      <c r="AE28">
        <v>17.190000000000001</v>
      </c>
      <c r="AF28">
        <v>11.8</v>
      </c>
      <c r="AH28">
        <v>2000</v>
      </c>
      <c r="AI28">
        <v>3.32</v>
      </c>
      <c r="AJ28">
        <v>2.5</v>
      </c>
      <c r="AL28">
        <v>2000</v>
      </c>
      <c r="AM28">
        <v>3.26</v>
      </c>
      <c r="AN28">
        <v>2.4500000000000002</v>
      </c>
      <c r="AP28">
        <v>2000</v>
      </c>
      <c r="AQ28" s="15">
        <f t="shared" si="2"/>
        <v>-12.44</v>
      </c>
      <c r="AS28">
        <v>2006</v>
      </c>
      <c r="AT28">
        <v>204813</v>
      </c>
      <c r="AU28">
        <f t="shared" si="14"/>
        <v>7.3668483958901243E-2</v>
      </c>
      <c r="AW28">
        <f t="shared" si="25"/>
        <v>2006</v>
      </c>
      <c r="AX28">
        <f t="shared" si="6"/>
        <v>0.60926236559650337</v>
      </c>
      <c r="AY28">
        <f t="shared" si="7"/>
        <v>0.57188341089438444</v>
      </c>
      <c r="AZ28" s="10">
        <f t="shared" si="15"/>
        <v>2006</v>
      </c>
      <c r="BA28" s="10">
        <f t="shared" si="16"/>
        <v>0.57188341089438444</v>
      </c>
      <c r="BB28" s="3"/>
      <c r="BC28">
        <f t="shared" si="17"/>
        <v>2014</v>
      </c>
      <c r="BD28">
        <v>4.9799999999999995</v>
      </c>
      <c r="BE28">
        <v>17.576666666666668</v>
      </c>
      <c r="BF28">
        <f t="shared" si="8"/>
        <v>4.9800000000000066E-2</v>
      </c>
      <c r="BG28">
        <f t="shared" si="9"/>
        <v>0.17576666666666663</v>
      </c>
      <c r="BH28" s="10">
        <f t="shared" si="18"/>
        <v>2014</v>
      </c>
      <c r="BI28" s="10">
        <f t="shared" si="19"/>
        <v>4.9799999999999997E-2</v>
      </c>
      <c r="BJ28" s="10">
        <f t="shared" si="20"/>
        <v>0.17576666666666668</v>
      </c>
      <c r="BQ28">
        <v>1968</v>
      </c>
      <c r="BR28">
        <v>33</v>
      </c>
      <c r="BS28" t="str">
        <f t="shared" si="26"/>
        <v/>
      </c>
      <c r="BT28" s="1">
        <f t="shared" si="27"/>
        <v>33</v>
      </c>
      <c r="BV28">
        <f t="shared" si="23"/>
        <v>1968</v>
      </c>
      <c r="BW28" s="1">
        <v>7.4</v>
      </c>
      <c r="BY28">
        <f t="shared" si="10"/>
        <v>7.4299595141700427</v>
      </c>
      <c r="BZ28">
        <f>$BY$75/BY28</f>
        <v>13.459023539668697</v>
      </c>
      <c r="CA28" t="s">
        <v>39</v>
      </c>
      <c r="CB28">
        <f t="shared" ref="CB28:CB59" si="36">BV28</f>
        <v>1968</v>
      </c>
    </row>
    <row r="29" spans="1:92" x14ac:dyDescent="0.35">
      <c r="A29" s="2">
        <v>2002</v>
      </c>
      <c r="B29" s="5">
        <v>74.5</v>
      </c>
      <c r="D29" s="1">
        <f t="shared" si="33"/>
        <v>74.5</v>
      </c>
      <c r="E29" s="10">
        <f t="shared" si="28"/>
        <v>2002</v>
      </c>
      <c r="F29" s="11">
        <f t="shared" si="29"/>
        <v>74.5</v>
      </c>
      <c r="G29" s="14">
        <f t="shared" si="30"/>
        <v>1.0122282608695652</v>
      </c>
      <c r="H29">
        <v>1.26</v>
      </c>
      <c r="I29">
        <v>1.58</v>
      </c>
      <c r="J29" s="14"/>
      <c r="K29">
        <v>2022</v>
      </c>
      <c r="L29">
        <v>197.40664895591226</v>
      </c>
      <c r="M29">
        <v>142.11945189788352</v>
      </c>
      <c r="N29" s="1">
        <f>IF(L29="",N28*M29/M28,L29)</f>
        <v>197.40664895591226</v>
      </c>
      <c r="O29" s="1">
        <f t="shared" si="0"/>
        <v>162.20759979943486</v>
      </c>
      <c r="P29" s="10">
        <f t="shared" si="4"/>
        <v>2022</v>
      </c>
      <c r="Q29" s="11">
        <f t="shared" si="5"/>
        <v>162.20759979943486</v>
      </c>
      <c r="S29">
        <f t="shared" si="34"/>
        <v>1990</v>
      </c>
      <c r="T29" s="6">
        <v>33208</v>
      </c>
      <c r="U29">
        <v>1032.25</v>
      </c>
      <c r="V29">
        <v>5.28E-2</v>
      </c>
      <c r="W29">
        <v>2159.6999999999998</v>
      </c>
      <c r="X29" s="3">
        <v>4.0999999999999995E-2</v>
      </c>
      <c r="Y29" s="3"/>
      <c r="Z29">
        <f t="shared" si="32"/>
        <v>0.9719035998781177</v>
      </c>
      <c r="AA29">
        <f t="shared" si="35"/>
        <v>0.90757366571802778</v>
      </c>
      <c r="AB29" s="15">
        <f t="shared" ref="AB29:AB64" si="37">AA29-1</f>
        <v>-9.2426334281972222E-2</v>
      </c>
      <c r="AC29">
        <v>-6.49</v>
      </c>
      <c r="AD29">
        <v>-12.58</v>
      </c>
      <c r="AE29">
        <v>-16.52</v>
      </c>
      <c r="AF29">
        <v>-20.8</v>
      </c>
      <c r="AH29">
        <v>2001</v>
      </c>
      <c r="AI29">
        <v>8.16</v>
      </c>
      <c r="AJ29">
        <v>6.84</v>
      </c>
      <c r="AL29">
        <v>2001</v>
      </c>
      <c r="AM29">
        <v>9.0399999999999991</v>
      </c>
      <c r="AN29">
        <v>7.71</v>
      </c>
      <c r="AP29">
        <v>2001</v>
      </c>
      <c r="AQ29" s="15">
        <f t="shared" si="2"/>
        <v>-15.010454545454547</v>
      </c>
      <c r="AS29">
        <v>2007</v>
      </c>
      <c r="AT29">
        <v>223405</v>
      </c>
      <c r="AU29">
        <f t="shared" si="14"/>
        <v>9.0775487884069861E-2</v>
      </c>
      <c r="AW29">
        <f t="shared" si="25"/>
        <v>2007</v>
      </c>
      <c r="AX29">
        <f t="shared" si="6"/>
        <v>0.59140477872579367</v>
      </c>
      <c r="AY29">
        <f t="shared" si="7"/>
        <v>0.53691748405867679</v>
      </c>
      <c r="AZ29" s="10">
        <f t="shared" si="15"/>
        <v>2007</v>
      </c>
      <c r="BA29" s="10">
        <f t="shared" si="16"/>
        <v>0.53691748405867679</v>
      </c>
      <c r="BB29" s="3"/>
      <c r="BC29">
        <f t="shared" si="17"/>
        <v>2015</v>
      </c>
      <c r="BD29">
        <v>4.331666666666667</v>
      </c>
      <c r="BE29">
        <v>17.913333333333334</v>
      </c>
      <c r="BF29">
        <f t="shared" si="8"/>
        <v>3.6064217146640098E-2</v>
      </c>
      <c r="BG29">
        <f t="shared" si="9"/>
        <v>0.17093677590201906</v>
      </c>
      <c r="BH29" s="10">
        <f t="shared" si="18"/>
        <v>2015</v>
      </c>
      <c r="BI29" s="10">
        <f t="shared" si="19"/>
        <v>4.331666666666667E-2</v>
      </c>
      <c r="BJ29" s="10">
        <f t="shared" si="20"/>
        <v>0.17913333333333334</v>
      </c>
      <c r="BQ29">
        <v>1969</v>
      </c>
      <c r="BR29">
        <v>33.6</v>
      </c>
      <c r="BS29" t="str">
        <f t="shared" si="26"/>
        <v/>
      </c>
      <c r="BT29" s="1">
        <f t="shared" si="27"/>
        <v>33.6</v>
      </c>
      <c r="BV29">
        <f t="shared" si="23"/>
        <v>1969</v>
      </c>
      <c r="BW29" s="1">
        <v>7.8</v>
      </c>
      <c r="BY29">
        <f t="shared" si="10"/>
        <v>7.8315789473684232</v>
      </c>
      <c r="BZ29">
        <f t="shared" ref="BZ29:BZ81" si="38">$BY$75/BY29</f>
        <v>12.768817204301072</v>
      </c>
      <c r="CA29" t="s">
        <v>39</v>
      </c>
      <c r="CB29">
        <f t="shared" si="36"/>
        <v>1969</v>
      </c>
    </row>
    <row r="30" spans="1:92" x14ac:dyDescent="0.35">
      <c r="A30" s="2">
        <v>2003</v>
      </c>
      <c r="B30" s="5">
        <v>75.5</v>
      </c>
      <c r="D30" s="1">
        <f t="shared" si="33"/>
        <v>75.5</v>
      </c>
      <c r="E30" s="10">
        <f t="shared" si="28"/>
        <v>2003</v>
      </c>
      <c r="F30" s="11">
        <f t="shared" si="29"/>
        <v>75.5</v>
      </c>
      <c r="G30" s="14">
        <f t="shared" si="30"/>
        <v>1.0134228187919463</v>
      </c>
      <c r="H30">
        <v>1.36</v>
      </c>
      <c r="I30">
        <v>2.2799999999999998</v>
      </c>
      <c r="J30" s="14"/>
      <c r="K30">
        <f>K29+1</f>
        <v>2023</v>
      </c>
      <c r="M30">
        <v>147.79704153355937</v>
      </c>
      <c r="N30" s="1">
        <f>IF(L30="",N29*M30/M29,L30)</f>
        <v>205.2929300325583</v>
      </c>
      <c r="O30" s="1">
        <f t="shared" si="0"/>
        <v>164.79602326504056</v>
      </c>
      <c r="P30" s="10">
        <f t="shared" si="4"/>
        <v>2023</v>
      </c>
      <c r="Q30" s="11">
        <f t="shared" si="5"/>
        <v>164.79602326504056</v>
      </c>
      <c r="S30">
        <f t="shared" si="34"/>
        <v>1991</v>
      </c>
      <c r="T30" s="6">
        <v>33573</v>
      </c>
      <c r="U30">
        <v>1187.7</v>
      </c>
      <c r="V30">
        <v>5.1699999999999996E-2</v>
      </c>
      <c r="W30">
        <v>2412.4</v>
      </c>
      <c r="X30" s="3">
        <v>3.7699999999999997E-2</v>
      </c>
      <c r="Y30" s="3"/>
      <c r="Z30">
        <f t="shared" si="32"/>
        <v>1.1580069917118119</v>
      </c>
      <c r="AA30">
        <f t="shared" si="35"/>
        <v>1.0770813783143141</v>
      </c>
      <c r="AB30" s="15">
        <f t="shared" si="37"/>
        <v>7.7081378314314053E-2</v>
      </c>
      <c r="AC30">
        <v>16.12</v>
      </c>
      <c r="AD30">
        <v>7.99</v>
      </c>
      <c r="AE30">
        <v>18.97</v>
      </c>
      <c r="AF30">
        <v>14.17</v>
      </c>
      <c r="AH30">
        <v>2002</v>
      </c>
      <c r="AI30">
        <v>5.18</v>
      </c>
      <c r="AJ30">
        <v>3.87</v>
      </c>
      <c r="AL30">
        <v>2002</v>
      </c>
      <c r="AM30">
        <v>7.46</v>
      </c>
      <c r="AN30">
        <v>6.13</v>
      </c>
      <c r="AP30">
        <v>2002</v>
      </c>
      <c r="AQ30" s="15">
        <f t="shared" si="2"/>
        <v>-17.414545454545454</v>
      </c>
      <c r="AS30">
        <v>2008</v>
      </c>
      <c r="AT30">
        <v>227765</v>
      </c>
      <c r="AU30">
        <f t="shared" si="14"/>
        <v>1.9516125422438968E-2</v>
      </c>
      <c r="AW30">
        <f t="shared" si="25"/>
        <v>2008</v>
      </c>
      <c r="AX30">
        <f t="shared" si="6"/>
        <v>0.35816548595257197</v>
      </c>
      <c r="AY30">
        <f t="shared" si="7"/>
        <v>0.32836739792358949</v>
      </c>
      <c r="AZ30" s="10">
        <f t="shared" si="15"/>
        <v>2008</v>
      </c>
      <c r="BA30" s="10">
        <f t="shared" si="16"/>
        <v>0.32836739792358949</v>
      </c>
      <c r="BB30" s="3"/>
      <c r="BC30">
        <f t="shared" si="17"/>
        <v>2016</v>
      </c>
      <c r="BD30">
        <v>3.9683333333333333</v>
      </c>
      <c r="BE30">
        <v>17.950833333333335</v>
      </c>
      <c r="BF30">
        <f t="shared" si="8"/>
        <v>1.2534929078014123E-2</v>
      </c>
      <c r="BG30">
        <f t="shared" si="9"/>
        <v>0.14870879271437776</v>
      </c>
      <c r="BH30" s="10">
        <f t="shared" si="18"/>
        <v>2016</v>
      </c>
      <c r="BI30" s="10">
        <f t="shared" si="19"/>
        <v>3.9683333333333334E-2</v>
      </c>
      <c r="BJ30" s="10">
        <f t="shared" si="20"/>
        <v>0.17950833333333335</v>
      </c>
      <c r="BQ30">
        <v>1970</v>
      </c>
      <c r="BR30">
        <v>34.5</v>
      </c>
      <c r="BS30" t="str">
        <f t="shared" si="26"/>
        <v/>
      </c>
      <c r="BT30" s="1">
        <f t="shared" si="27"/>
        <v>34.5</v>
      </c>
      <c r="BV30">
        <f t="shared" si="23"/>
        <v>1970</v>
      </c>
      <c r="BW30" s="1">
        <v>8.3000000000000007</v>
      </c>
      <c r="BY30">
        <f t="shared" si="10"/>
        <v>8.3336032388663988</v>
      </c>
      <c r="BZ30">
        <f t="shared" si="38"/>
        <v>11.999611348620284</v>
      </c>
      <c r="CA30" t="s">
        <v>39</v>
      </c>
      <c r="CB30">
        <f t="shared" si="36"/>
        <v>1970</v>
      </c>
    </row>
    <row r="31" spans="1:92" x14ac:dyDescent="0.35">
      <c r="A31" s="2">
        <v>2004</v>
      </c>
      <c r="B31" s="5">
        <v>76.5</v>
      </c>
      <c r="D31" s="1">
        <f t="shared" si="33"/>
        <v>76.5</v>
      </c>
      <c r="E31" s="10">
        <f t="shared" si="28"/>
        <v>2004</v>
      </c>
      <c r="F31" s="11">
        <f t="shared" si="29"/>
        <v>76.5</v>
      </c>
      <c r="G31" s="14">
        <f t="shared" si="30"/>
        <v>1.0132450331125828</v>
      </c>
      <c r="H31">
        <v>1.34</v>
      </c>
      <c r="I31">
        <v>2.66</v>
      </c>
      <c r="J31" s="14"/>
      <c r="K31">
        <f t="shared" ref="K31:K34" si="39">K30+1</f>
        <v>2024</v>
      </c>
      <c r="M31">
        <v>149.45926153010151</v>
      </c>
      <c r="N31" s="1">
        <f t="shared" si="3"/>
        <v>207.60178554081531</v>
      </c>
      <c r="O31" s="1">
        <f t="shared" si="0"/>
        <v>163.94277212602779</v>
      </c>
      <c r="P31" s="10">
        <f t="shared" si="4"/>
        <v>2024</v>
      </c>
      <c r="Q31" s="11">
        <f t="shared" si="5"/>
        <v>163.94277212602779</v>
      </c>
      <c r="S31">
        <f t="shared" si="34"/>
        <v>1992</v>
      </c>
      <c r="T31" s="6">
        <v>33939</v>
      </c>
      <c r="U31">
        <v>1363.79</v>
      </c>
      <c r="V31">
        <v>4.4700000000000004E-2</v>
      </c>
      <c r="W31">
        <v>2772</v>
      </c>
      <c r="X31" s="3">
        <v>3.2599999999999997E-2</v>
      </c>
      <c r="Y31" s="3"/>
      <c r="Z31">
        <f t="shared" si="32"/>
        <v>1.1867631736030508</v>
      </c>
      <c r="AA31">
        <f t="shared" si="35"/>
        <v>1.1393684781716191</v>
      </c>
      <c r="AB31" s="15">
        <f t="shared" si="37"/>
        <v>0.13936847817161913</v>
      </c>
      <c r="AC31">
        <v>18.829999999999998</v>
      </c>
      <c r="AD31">
        <v>13.97</v>
      </c>
      <c r="AE31">
        <v>-4.66</v>
      </c>
      <c r="AF31">
        <v>-7.45</v>
      </c>
      <c r="AH31">
        <v>2003</v>
      </c>
      <c r="AI31">
        <v>7.88</v>
      </c>
      <c r="AJ31">
        <v>6.43</v>
      </c>
      <c r="AL31">
        <v>2003</v>
      </c>
      <c r="AM31">
        <v>10.24</v>
      </c>
      <c r="AN31">
        <v>8.75</v>
      </c>
      <c r="AP31">
        <v>2003</v>
      </c>
      <c r="AQ31" s="15">
        <f t="shared" si="2"/>
        <v>26.56</v>
      </c>
      <c r="AS31">
        <v>2009</v>
      </c>
      <c r="AT31">
        <v>226064</v>
      </c>
      <c r="AU31">
        <f t="shared" si="14"/>
        <v>-7.4682238271902568E-3</v>
      </c>
      <c r="AW31">
        <f t="shared" si="25"/>
        <v>2009</v>
      </c>
      <c r="AX31">
        <f t="shared" si="6"/>
        <v>0.62397475002670322</v>
      </c>
      <c r="AY31">
        <f t="shared" si="7"/>
        <v>0.57311200617799174</v>
      </c>
      <c r="AZ31" s="10">
        <f t="shared" si="15"/>
        <v>2009</v>
      </c>
      <c r="BA31" s="10">
        <f t="shared" si="16"/>
        <v>0.57311200617799174</v>
      </c>
      <c r="BB31" s="3"/>
      <c r="BC31">
        <f t="shared" si="17"/>
        <v>2017</v>
      </c>
      <c r="BD31">
        <v>3.7991666666666664</v>
      </c>
      <c r="BE31">
        <v>17.944166666666668</v>
      </c>
      <c r="BF31">
        <f t="shared" si="8"/>
        <v>1.3487614101353351E-2</v>
      </c>
      <c r="BG31">
        <f t="shared" si="9"/>
        <v>0.15159837897387463</v>
      </c>
      <c r="BH31" s="10">
        <f t="shared" si="18"/>
        <v>2017</v>
      </c>
      <c r="BI31" s="10">
        <f t="shared" si="19"/>
        <v>3.7991666666666667E-2</v>
      </c>
      <c r="BJ31" s="10">
        <f t="shared" si="20"/>
        <v>0.17944166666666667</v>
      </c>
      <c r="BQ31">
        <v>1971</v>
      </c>
      <c r="BR31">
        <v>35.799999999999997</v>
      </c>
      <c r="BS31" t="str">
        <f t="shared" si="26"/>
        <v/>
      </c>
      <c r="BT31" s="1">
        <f t="shared" si="27"/>
        <v>35.799999999999997</v>
      </c>
      <c r="BV31">
        <f t="shared" si="23"/>
        <v>1971</v>
      </c>
      <c r="BW31" s="1">
        <v>9.1</v>
      </c>
      <c r="BY31">
        <f t="shared" si="10"/>
        <v>9.1368421052631597</v>
      </c>
      <c r="BZ31">
        <f t="shared" si="38"/>
        <v>10.944700460829491</v>
      </c>
      <c r="CA31" t="s">
        <v>39</v>
      </c>
      <c r="CB31">
        <f t="shared" si="36"/>
        <v>1971</v>
      </c>
    </row>
    <row r="32" spans="1:92" x14ac:dyDescent="0.35">
      <c r="A32" s="2">
        <v>2005</v>
      </c>
      <c r="B32" s="5">
        <v>78.099999999999994</v>
      </c>
      <c r="D32" s="1">
        <f t="shared" si="33"/>
        <v>78.099999999999994</v>
      </c>
      <c r="E32" s="10">
        <f t="shared" si="28"/>
        <v>2005</v>
      </c>
      <c r="F32" s="11">
        <f t="shared" si="29"/>
        <v>78.099999999999994</v>
      </c>
      <c r="G32" s="14">
        <f t="shared" si="30"/>
        <v>1.0209150326797385</v>
      </c>
      <c r="H32">
        <v>2.06</v>
      </c>
      <c r="I32">
        <v>3.39</v>
      </c>
      <c r="J32" s="14"/>
      <c r="K32">
        <f t="shared" si="39"/>
        <v>2025</v>
      </c>
      <c r="M32">
        <v>151.68812799545449</v>
      </c>
      <c r="N32" s="1">
        <f t="shared" si="3"/>
        <v>210.69772388014755</v>
      </c>
      <c r="O32" s="1">
        <f t="shared" si="0"/>
        <v>163.18350470648323</v>
      </c>
      <c r="P32" s="10">
        <f t="shared" si="4"/>
        <v>2025</v>
      </c>
      <c r="Q32" s="11">
        <f t="shared" si="5"/>
        <v>163.18350470648323</v>
      </c>
      <c r="S32">
        <f t="shared" si="34"/>
        <v>1993</v>
      </c>
      <c r="T32" s="6">
        <v>34304</v>
      </c>
      <c r="U32">
        <v>1682.17</v>
      </c>
      <c r="V32">
        <v>3.49E-2</v>
      </c>
      <c r="W32">
        <v>3197</v>
      </c>
      <c r="X32" s="3">
        <v>2.6099999999999998E-2</v>
      </c>
      <c r="Y32" s="3"/>
      <c r="Z32">
        <f t="shared" si="32"/>
        <v>1.1859189033189033</v>
      </c>
      <c r="AA32">
        <f t="shared" si="35"/>
        <v>1.1563632920212359</v>
      </c>
      <c r="AB32" s="15">
        <f t="shared" si="37"/>
        <v>0.15636329202123589</v>
      </c>
      <c r="AC32">
        <v>26.54</v>
      </c>
      <c r="AD32">
        <v>23.44</v>
      </c>
      <c r="AE32">
        <v>23.13</v>
      </c>
      <c r="AF32">
        <v>19.55</v>
      </c>
      <c r="AH32">
        <v>2004</v>
      </c>
      <c r="AI32">
        <v>2.0499999999999998</v>
      </c>
      <c r="AJ32">
        <v>0.69</v>
      </c>
      <c r="AL32">
        <v>2004</v>
      </c>
      <c r="AM32">
        <v>4.74</v>
      </c>
      <c r="AN32">
        <v>3.35</v>
      </c>
      <c r="AP32">
        <v>2004</v>
      </c>
      <c r="AQ32" s="15">
        <f t="shared" si="2"/>
        <v>10.726818181818182</v>
      </c>
      <c r="AS32">
        <v>2010</v>
      </c>
      <c r="AT32">
        <v>251174</v>
      </c>
      <c r="AU32">
        <f t="shared" si="14"/>
        <v>0.1110747398966665</v>
      </c>
      <c r="AW32">
        <f t="shared" si="25"/>
        <v>2010</v>
      </c>
      <c r="AX32">
        <f t="shared" si="6"/>
        <v>0.60405706864022457</v>
      </c>
      <c r="AY32">
        <f t="shared" si="7"/>
        <v>0.53536083443721716</v>
      </c>
      <c r="AZ32" s="10">
        <f t="shared" si="15"/>
        <v>2010</v>
      </c>
      <c r="BA32" s="10">
        <f t="shared" si="16"/>
        <v>0.53536083443721716</v>
      </c>
      <c r="BB32" s="3"/>
      <c r="BC32">
        <f t="shared" si="17"/>
        <v>2018</v>
      </c>
      <c r="BD32">
        <v>3.7691666666666666</v>
      </c>
      <c r="BE32">
        <v>18.666666666666664</v>
      </c>
      <c r="BF32">
        <f t="shared" si="8"/>
        <v>1.9402110389610483E-2</v>
      </c>
      <c r="BG32">
        <f t="shared" si="9"/>
        <v>0.16575139146567719</v>
      </c>
      <c r="BH32" s="10">
        <f t="shared" si="18"/>
        <v>2018</v>
      </c>
      <c r="BI32" s="10">
        <f t="shared" si="19"/>
        <v>3.7691666666666665E-2</v>
      </c>
      <c r="BJ32" s="10">
        <f t="shared" si="20"/>
        <v>0.18666666666666665</v>
      </c>
      <c r="BQ32">
        <v>1972</v>
      </c>
      <c r="BR32">
        <v>37.299999999999997</v>
      </c>
      <c r="BS32" t="str">
        <f t="shared" si="26"/>
        <v/>
      </c>
      <c r="BT32" s="1">
        <f t="shared" si="27"/>
        <v>37.299999999999997</v>
      </c>
      <c r="BV32">
        <f t="shared" si="23"/>
        <v>1972</v>
      </c>
      <c r="BW32" s="1">
        <v>9.6999999999999993</v>
      </c>
      <c r="BY32">
        <f t="shared" si="10"/>
        <v>9.7392712550607303</v>
      </c>
      <c r="BZ32">
        <f t="shared" si="38"/>
        <v>10.267708679747255</v>
      </c>
      <c r="CA32" t="s">
        <v>39</v>
      </c>
      <c r="CB32">
        <f t="shared" si="36"/>
        <v>1972</v>
      </c>
    </row>
    <row r="33" spans="1:80" x14ac:dyDescent="0.35">
      <c r="A33" s="2">
        <v>2006</v>
      </c>
      <c r="B33" s="5">
        <v>79.900000000000006</v>
      </c>
      <c r="D33" s="1">
        <f t="shared" si="33"/>
        <v>79.900000000000006</v>
      </c>
      <c r="E33" s="10">
        <f t="shared" si="28"/>
        <v>2006</v>
      </c>
      <c r="F33" s="11">
        <f t="shared" si="29"/>
        <v>79.900000000000006</v>
      </c>
      <c r="G33" s="14">
        <f t="shared" si="30"/>
        <v>1.0230473751600513</v>
      </c>
      <c r="H33">
        <v>2.33</v>
      </c>
      <c r="I33">
        <v>3.23</v>
      </c>
      <c r="J33" s="14"/>
      <c r="K33">
        <f t="shared" si="39"/>
        <v>2026</v>
      </c>
      <c r="M33">
        <v>154.75513745077927</v>
      </c>
      <c r="N33" s="1">
        <f t="shared" si="3"/>
        <v>214.95785893419205</v>
      </c>
      <c r="O33" s="1">
        <f t="shared" si="0"/>
        <v>163.21856984752483</v>
      </c>
      <c r="P33" s="10">
        <f t="shared" si="4"/>
        <v>2026</v>
      </c>
      <c r="Q33" s="11">
        <f t="shared" si="5"/>
        <v>163.21856984752483</v>
      </c>
      <c r="S33">
        <f t="shared" si="34"/>
        <v>1994</v>
      </c>
      <c r="T33" s="6">
        <v>34669</v>
      </c>
      <c r="U33">
        <v>1521.44</v>
      </c>
      <c r="V33">
        <v>4.0799999999999996E-2</v>
      </c>
      <c r="W33">
        <v>3079.6</v>
      </c>
      <c r="X33" s="3">
        <v>3.2199999999999999E-2</v>
      </c>
      <c r="Y33" s="3"/>
      <c r="Z33">
        <f t="shared" si="32"/>
        <v>0.98937807319361903</v>
      </c>
      <c r="AA33">
        <f t="shared" si="35"/>
        <v>0.96974156181725712</v>
      </c>
      <c r="AB33" s="15">
        <f t="shared" si="37"/>
        <v>-3.0258438182742875E-2</v>
      </c>
      <c r="AC33">
        <v>-3.76</v>
      </c>
      <c r="AD33">
        <v>-5.63</v>
      </c>
      <c r="AE33">
        <v>5.58</v>
      </c>
      <c r="AF33">
        <v>2.94</v>
      </c>
      <c r="AH33">
        <v>2005</v>
      </c>
      <c r="AI33">
        <v>8.4499999999999993</v>
      </c>
      <c r="AJ33">
        <v>6.27</v>
      </c>
      <c r="AL33">
        <v>2005</v>
      </c>
      <c r="AM33">
        <v>8.2899999999999991</v>
      </c>
      <c r="AN33">
        <v>6.11</v>
      </c>
      <c r="AP33">
        <v>2005</v>
      </c>
      <c r="AQ33" s="15">
        <f t="shared" si="2"/>
        <v>7.24</v>
      </c>
      <c r="AS33">
        <v>2011</v>
      </c>
      <c r="AT33">
        <v>245319</v>
      </c>
      <c r="AU33">
        <f t="shared" si="14"/>
        <v>-2.3310533733587047E-2</v>
      </c>
      <c r="AW33">
        <f t="shared" si="25"/>
        <v>2011</v>
      </c>
      <c r="AX33">
        <f t="shared" si="6"/>
        <v>0.5007235720167692</v>
      </c>
      <c r="AY33">
        <f t="shared" si="7"/>
        <v>0.45855964231390511</v>
      </c>
      <c r="AZ33" s="10">
        <f t="shared" si="15"/>
        <v>2011</v>
      </c>
      <c r="BA33" s="10">
        <f t="shared" si="16"/>
        <v>0.45855964231390511</v>
      </c>
      <c r="BB33" s="3"/>
      <c r="BC33">
        <f t="shared" si="17"/>
        <v>2019</v>
      </c>
      <c r="BD33">
        <v>3.6141666666666663</v>
      </c>
      <c r="BE33">
        <v>20.248333333333331</v>
      </c>
      <c r="BF33">
        <f t="shared" si="8"/>
        <v>2.756275682306053E-2</v>
      </c>
      <c r="BG33">
        <f t="shared" si="9"/>
        <v>0.19252716957988358</v>
      </c>
      <c r="BH33" s="10">
        <f t="shared" si="18"/>
        <v>2019</v>
      </c>
      <c r="BI33" s="10">
        <f t="shared" si="19"/>
        <v>3.6141666666666662E-2</v>
      </c>
      <c r="BJ33" s="10">
        <f t="shared" si="20"/>
        <v>0.20248333333333332</v>
      </c>
      <c r="BQ33">
        <v>1973</v>
      </c>
      <c r="BR33">
        <v>39.799999999999997</v>
      </c>
      <c r="BS33" t="str">
        <f t="shared" si="26"/>
        <v/>
      </c>
      <c r="BT33" s="1">
        <f t="shared" si="27"/>
        <v>39.799999999999997</v>
      </c>
      <c r="BV33">
        <f t="shared" si="23"/>
        <v>1973</v>
      </c>
      <c r="BW33" s="1">
        <v>10.6</v>
      </c>
      <c r="BY33">
        <f t="shared" si="10"/>
        <v>10.642914979757087</v>
      </c>
      <c r="BZ33">
        <f t="shared" si="38"/>
        <v>9.3959220937309773</v>
      </c>
      <c r="CA33" t="s">
        <v>39</v>
      </c>
      <c r="CB33">
        <f t="shared" si="36"/>
        <v>1973</v>
      </c>
    </row>
    <row r="34" spans="1:80" x14ac:dyDescent="0.35">
      <c r="A34" s="2">
        <v>2007</v>
      </c>
      <c r="B34" s="5">
        <v>81.8</v>
      </c>
      <c r="D34" s="1">
        <f t="shared" si="33"/>
        <v>81.8</v>
      </c>
      <c r="E34" s="10">
        <f t="shared" si="28"/>
        <v>2007</v>
      </c>
      <c r="F34" s="11">
        <f t="shared" si="29"/>
        <v>81.8</v>
      </c>
      <c r="G34" s="14">
        <f t="shared" si="30"/>
        <v>1.0237797246558196</v>
      </c>
      <c r="H34">
        <v>2.3199999999999998</v>
      </c>
      <c r="I34">
        <v>2.83</v>
      </c>
      <c r="J34" s="14"/>
      <c r="K34">
        <f t="shared" si="39"/>
        <v>2027</v>
      </c>
      <c r="M34">
        <v>158.60167281782594</v>
      </c>
      <c r="N34" s="1">
        <f t="shared" si="3"/>
        <v>220.30077045516163</v>
      </c>
      <c r="O34" s="1">
        <f t="shared" si="0"/>
        <v>163.03155667222143</v>
      </c>
      <c r="P34" s="10">
        <f t="shared" si="4"/>
        <v>2027</v>
      </c>
      <c r="Q34" s="11">
        <f t="shared" si="5"/>
        <v>163.03155667222143</v>
      </c>
      <c r="S34">
        <f t="shared" si="34"/>
        <v>1995</v>
      </c>
      <c r="T34" s="6">
        <v>35034</v>
      </c>
      <c r="U34">
        <v>1802.56</v>
      </c>
      <c r="V34">
        <v>3.8200000000000005E-2</v>
      </c>
      <c r="W34">
        <v>3667.5</v>
      </c>
      <c r="X34" s="3">
        <v>3.04E-2</v>
      </c>
      <c r="Y34" s="3"/>
      <c r="Z34">
        <f t="shared" si="32"/>
        <v>1.2231014157682816</v>
      </c>
      <c r="AA34">
        <f t="shared" si="35"/>
        <v>1.192159862095572</v>
      </c>
      <c r="AB34" s="15">
        <f t="shared" si="37"/>
        <v>0.19215986209557201</v>
      </c>
      <c r="AC34">
        <v>22.6</v>
      </c>
      <c r="AD34">
        <v>19.420000000000002</v>
      </c>
      <c r="AE34">
        <v>21.32</v>
      </c>
      <c r="AF34">
        <v>17.98</v>
      </c>
      <c r="AH34">
        <v>2006</v>
      </c>
      <c r="AI34">
        <v>3.88</v>
      </c>
      <c r="AJ34">
        <v>1.52</v>
      </c>
      <c r="AL34">
        <v>2006</v>
      </c>
      <c r="AM34">
        <v>4.8499999999999996</v>
      </c>
      <c r="AN34">
        <v>2.4700000000000002</v>
      </c>
      <c r="AP34">
        <v>2006</v>
      </c>
      <c r="AQ34" s="15">
        <f t="shared" si="2"/>
        <v>14.644545454545455</v>
      </c>
      <c r="AS34">
        <v>2012</v>
      </c>
      <c r="AT34">
        <v>246032</v>
      </c>
      <c r="AU34">
        <f t="shared" si="14"/>
        <v>2.9064198044179701E-3</v>
      </c>
      <c r="AW34">
        <f t="shared" si="25"/>
        <v>2012</v>
      </c>
      <c r="AX34">
        <f t="shared" si="6"/>
        <v>0.50229693424558097</v>
      </c>
      <c r="AY34">
        <f t="shared" si="7"/>
        <v>0.46569274498477498</v>
      </c>
      <c r="AZ34" s="10">
        <f t="shared" si="15"/>
        <v>2012</v>
      </c>
      <c r="BA34" s="10">
        <f t="shared" si="16"/>
        <v>0.46569274498477498</v>
      </c>
      <c r="BB34" s="3"/>
      <c r="BC34">
        <f t="shared" si="17"/>
        <v>2020</v>
      </c>
      <c r="BD34">
        <v>3.5466666666666664</v>
      </c>
      <c r="BE34">
        <v>20.790000000000003</v>
      </c>
      <c r="BF34">
        <f t="shared" si="8"/>
        <v>8.5593787335724869E-3</v>
      </c>
      <c r="BG34">
        <f t="shared" si="9"/>
        <v>0.17651191756272411</v>
      </c>
      <c r="BH34" s="10">
        <f t="shared" si="18"/>
        <v>2020</v>
      </c>
      <c r="BI34" s="10">
        <f t="shared" si="19"/>
        <v>3.5466666666666667E-2</v>
      </c>
      <c r="BJ34" s="10">
        <f t="shared" si="20"/>
        <v>0.20790000000000003</v>
      </c>
      <c r="BQ34">
        <v>1974</v>
      </c>
      <c r="BR34">
        <v>38.799999999999997</v>
      </c>
      <c r="BS34" t="str">
        <f t="shared" si="26"/>
        <v/>
      </c>
      <c r="BT34" s="1">
        <f t="shared" si="27"/>
        <v>38.799999999999997</v>
      </c>
      <c r="BV34">
        <f t="shared" si="23"/>
        <v>1974</v>
      </c>
      <c r="BW34" s="1">
        <v>12.6</v>
      </c>
      <c r="BY34">
        <f t="shared" si="10"/>
        <v>12.651012145748991</v>
      </c>
      <c r="BZ34">
        <f t="shared" si="38"/>
        <v>7.9045058883768542</v>
      </c>
      <c r="CA34" t="s">
        <v>39</v>
      </c>
      <c r="CB34">
        <f t="shared" si="36"/>
        <v>1974</v>
      </c>
    </row>
    <row r="35" spans="1:80" x14ac:dyDescent="0.35">
      <c r="A35" s="2">
        <v>2008</v>
      </c>
      <c r="B35" s="5">
        <v>84.7</v>
      </c>
      <c r="C35" s="7">
        <v>85.356499999999997</v>
      </c>
      <c r="D35" s="1">
        <f t="shared" si="33"/>
        <v>84.7</v>
      </c>
      <c r="E35" s="10">
        <f t="shared" si="28"/>
        <v>2008</v>
      </c>
      <c r="F35" s="11">
        <f t="shared" si="29"/>
        <v>84.7</v>
      </c>
      <c r="G35" s="14">
        <f t="shared" si="30"/>
        <v>1.0354523227383863</v>
      </c>
      <c r="H35">
        <v>3.6</v>
      </c>
      <c r="I35">
        <v>3.86</v>
      </c>
      <c r="J35" s="14"/>
      <c r="P35" s="10">
        <f>P34+1</f>
        <v>2028</v>
      </c>
      <c r="Q35" s="11">
        <f>Q34*O6</f>
        <v>163.81254899663941</v>
      </c>
      <c r="S35">
        <f t="shared" si="34"/>
        <v>1996</v>
      </c>
      <c r="T35" s="6">
        <v>35400</v>
      </c>
      <c r="U35">
        <v>2013.66</v>
      </c>
      <c r="V35">
        <v>4.0899999999999999E-2</v>
      </c>
      <c r="W35">
        <v>4055.9</v>
      </c>
      <c r="X35" s="3">
        <v>2.9900000000000003E-2</v>
      </c>
      <c r="Y35" s="3"/>
      <c r="Z35">
        <f t="shared" si="32"/>
        <v>1.1363032038173142</v>
      </c>
      <c r="AA35">
        <f t="shared" si="35"/>
        <v>1.1098775479145861</v>
      </c>
      <c r="AB35" s="15">
        <f t="shared" si="37"/>
        <v>0.10987754791458615</v>
      </c>
      <c r="AC35">
        <v>14.51</v>
      </c>
      <c r="AD35">
        <v>11.83</v>
      </c>
      <c r="AE35">
        <v>14</v>
      </c>
      <c r="AF35">
        <v>10.73</v>
      </c>
      <c r="AH35">
        <v>2007</v>
      </c>
      <c r="AI35">
        <v>0.56999999999999995</v>
      </c>
      <c r="AJ35">
        <v>-1.71</v>
      </c>
      <c r="AL35">
        <v>2007</v>
      </c>
      <c r="AM35">
        <v>1.74</v>
      </c>
      <c r="AN35">
        <v>-0.56999999999999995</v>
      </c>
      <c r="AP35">
        <v>2007</v>
      </c>
      <c r="AQ35" s="15">
        <f t="shared" si="2"/>
        <v>5.246818181818182</v>
      </c>
      <c r="AS35">
        <v>2013</v>
      </c>
      <c r="AT35">
        <v>250768</v>
      </c>
      <c r="AU35">
        <f t="shared" si="14"/>
        <v>1.9249528516615655E-2</v>
      </c>
      <c r="AW35">
        <f t="shared" si="25"/>
        <v>2013</v>
      </c>
      <c r="AX35">
        <f t="shared" si="6"/>
        <v>0.59171160408272705</v>
      </c>
      <c r="AY35">
        <f t="shared" si="7"/>
        <v>0.56783593002148613</v>
      </c>
      <c r="AZ35" s="10">
        <f t="shared" si="15"/>
        <v>2013</v>
      </c>
      <c r="BA35" s="10">
        <f t="shared" si="16"/>
        <v>0.56783593002148613</v>
      </c>
      <c r="BB35" s="3"/>
      <c r="BC35">
        <f t="shared" si="17"/>
        <v>2021</v>
      </c>
      <c r="BD35">
        <v>3.8266666666666667</v>
      </c>
      <c r="BE35">
        <v>21.439999999999998</v>
      </c>
      <c r="BF35">
        <f t="shared" si="8"/>
        <v>-4.7900082169268665E-2</v>
      </c>
      <c r="BG35">
        <f t="shared" si="9"/>
        <v>0.11361577649958909</v>
      </c>
      <c r="BH35" s="10">
        <f t="shared" si="18"/>
        <v>2021</v>
      </c>
      <c r="BI35" s="10">
        <f t="shared" si="19"/>
        <v>3.8266666666666664E-2</v>
      </c>
      <c r="BJ35" s="10">
        <f t="shared" si="20"/>
        <v>0.21439999999999998</v>
      </c>
      <c r="BQ35">
        <v>1975</v>
      </c>
      <c r="BR35">
        <v>38.200000000000003</v>
      </c>
      <c r="BS35" t="str">
        <f t="shared" si="26"/>
        <v/>
      </c>
      <c r="BT35" s="1">
        <f t="shared" si="27"/>
        <v>38.200000000000003</v>
      </c>
      <c r="BV35">
        <f t="shared" si="23"/>
        <v>1975</v>
      </c>
      <c r="BW35" s="1">
        <v>15.5</v>
      </c>
      <c r="BY35">
        <f t="shared" si="10"/>
        <v>15.56275303643725</v>
      </c>
      <c r="BZ35">
        <f t="shared" si="38"/>
        <v>6.4255983350676367</v>
      </c>
      <c r="CA35" t="s">
        <v>39</v>
      </c>
      <c r="CB35">
        <f t="shared" si="36"/>
        <v>1975</v>
      </c>
    </row>
    <row r="36" spans="1:80" x14ac:dyDescent="0.35">
      <c r="A36" s="2">
        <v>2009</v>
      </c>
      <c r="B36" s="5">
        <v>86.6</v>
      </c>
      <c r="C36" s="7">
        <v>87.267416666666676</v>
      </c>
      <c r="D36" s="1">
        <f t="shared" si="33"/>
        <v>86.6</v>
      </c>
      <c r="E36" s="10">
        <f t="shared" si="28"/>
        <v>2009</v>
      </c>
      <c r="F36" s="11">
        <f t="shared" si="29"/>
        <v>86.6</v>
      </c>
      <c r="G36" s="14">
        <f t="shared" si="30"/>
        <v>1.0224321133412042</v>
      </c>
      <c r="H36">
        <v>2.16</v>
      </c>
      <c r="I36">
        <v>-0.37</v>
      </c>
      <c r="J36" s="14"/>
      <c r="S36">
        <f t="shared" si="34"/>
        <v>1997</v>
      </c>
      <c r="T36" s="6">
        <v>35765</v>
      </c>
      <c r="U36">
        <v>2411</v>
      </c>
      <c r="V36">
        <v>3.6000000000000004E-2</v>
      </c>
      <c r="W36">
        <v>4871.7</v>
      </c>
      <c r="X36" s="3">
        <v>2.6600000000000002E-2</v>
      </c>
      <c r="Y36" s="3"/>
      <c r="Z36">
        <f t="shared" si="32"/>
        <v>1.2310390813382972</v>
      </c>
      <c r="AA36">
        <f t="shared" si="35"/>
        <v>1.2082095406002118</v>
      </c>
      <c r="AB36" s="15">
        <f t="shared" si="37"/>
        <v>0.2082095406002118</v>
      </c>
      <c r="AC36">
        <v>24.09</v>
      </c>
      <c r="AD36">
        <v>21.87</v>
      </c>
      <c r="AE36">
        <v>16.23</v>
      </c>
      <c r="AF36">
        <v>13.62</v>
      </c>
      <c r="AH36">
        <v>2008</v>
      </c>
      <c r="AI36">
        <v>7.54</v>
      </c>
      <c r="AJ36">
        <v>3.8</v>
      </c>
      <c r="AL36">
        <v>2008</v>
      </c>
      <c r="AM36">
        <v>0.96</v>
      </c>
      <c r="AN36">
        <v>-2.5499999999999998</v>
      </c>
      <c r="AP36">
        <v>2008</v>
      </c>
      <c r="AQ36" s="15">
        <f t="shared" si="2"/>
        <v>-35.867727272727272</v>
      </c>
      <c r="AS36">
        <v>2014</v>
      </c>
      <c r="AT36">
        <v>267132</v>
      </c>
      <c r="AU36">
        <f t="shared" si="14"/>
        <v>6.5255534996490727E-2</v>
      </c>
      <c r="AW36">
        <f t="shared" si="25"/>
        <v>2014</v>
      </c>
      <c r="AX36">
        <f t="shared" si="6"/>
        <v>0.57934096688081727</v>
      </c>
      <c r="AY36">
        <f t="shared" si="7"/>
        <v>0.57934096688081738</v>
      </c>
      <c r="AZ36" s="10">
        <f t="shared" si="15"/>
        <v>2014</v>
      </c>
      <c r="BA36" s="10">
        <f t="shared" si="16"/>
        <v>0.57934096688081738</v>
      </c>
      <c r="BB36" s="3"/>
      <c r="BH36" s="10">
        <f>BH35+1</f>
        <v>2022</v>
      </c>
      <c r="BI36" s="10">
        <f>BF6</f>
        <v>6.0198436757189541E-2</v>
      </c>
      <c r="BJ36" s="10">
        <f>BG6</f>
        <v>0.15704228576200643</v>
      </c>
      <c r="BQ36">
        <v>1976</v>
      </c>
      <c r="BR36">
        <v>39.299999999999997</v>
      </c>
      <c r="BS36" t="str">
        <f t="shared" si="26"/>
        <v/>
      </c>
      <c r="BT36" s="1">
        <f t="shared" si="27"/>
        <v>39.299999999999997</v>
      </c>
      <c r="BV36">
        <f t="shared" si="23"/>
        <v>1976</v>
      </c>
      <c r="BW36" s="1">
        <v>18</v>
      </c>
      <c r="BY36">
        <f t="shared" si="10"/>
        <v>18.072874493927127</v>
      </c>
      <c r="BZ36">
        <f t="shared" si="38"/>
        <v>5.5331541218637987</v>
      </c>
      <c r="CA36" t="s">
        <v>39</v>
      </c>
      <c r="CB36">
        <f t="shared" si="36"/>
        <v>1976</v>
      </c>
    </row>
    <row r="37" spans="1:80" x14ac:dyDescent="0.35">
      <c r="A37" s="2">
        <v>2010</v>
      </c>
      <c r="B37" s="5">
        <v>89.4</v>
      </c>
      <c r="C37" s="7">
        <v>90.331583333333327</v>
      </c>
      <c r="D37" s="1">
        <f t="shared" si="33"/>
        <v>89.4</v>
      </c>
      <c r="E37" s="10">
        <f t="shared" si="28"/>
        <v>2010</v>
      </c>
      <c r="F37" s="11">
        <f t="shared" si="29"/>
        <v>89.4</v>
      </c>
      <c r="G37" s="14">
        <f t="shared" si="30"/>
        <v>1.0323325635103928</v>
      </c>
      <c r="H37">
        <v>3.3</v>
      </c>
      <c r="I37">
        <v>1.68</v>
      </c>
      <c r="J37" s="14"/>
      <c r="S37">
        <f t="shared" si="34"/>
        <v>1998</v>
      </c>
      <c r="T37" s="6">
        <v>36130</v>
      </c>
      <c r="U37">
        <v>2673.92</v>
      </c>
      <c r="V37">
        <v>3.1099999999999999E-2</v>
      </c>
      <c r="W37">
        <v>5723.3</v>
      </c>
      <c r="X37" s="3">
        <v>2.5000000000000001E-2</v>
      </c>
      <c r="Y37" s="3"/>
      <c r="Z37">
        <f t="shared" si="32"/>
        <v>1.2014055093704457</v>
      </c>
      <c r="AA37">
        <f t="shared" si="35"/>
        <v>1.1828444691975875</v>
      </c>
      <c r="AB37" s="15">
        <f t="shared" si="37"/>
        <v>0.18284446919758746</v>
      </c>
      <c r="AC37">
        <v>11.47</v>
      </c>
      <c r="AD37">
        <v>9.76</v>
      </c>
      <c r="AE37">
        <v>24.8</v>
      </c>
      <c r="AF37">
        <v>22.89</v>
      </c>
      <c r="AH37">
        <v>2009</v>
      </c>
      <c r="AI37">
        <v>11.16</v>
      </c>
      <c r="AJ37">
        <v>8.8000000000000007</v>
      </c>
      <c r="AL37">
        <v>2009</v>
      </c>
      <c r="AM37">
        <v>11.6</v>
      </c>
      <c r="AN37">
        <v>9.24</v>
      </c>
      <c r="AP37">
        <v>2009</v>
      </c>
      <c r="AQ37" s="15">
        <f t="shared" si="2"/>
        <v>28.06068181818182</v>
      </c>
      <c r="AS37">
        <v>2015</v>
      </c>
      <c r="AT37">
        <v>276555</v>
      </c>
      <c r="AU37">
        <f t="shared" si="14"/>
        <v>3.5274695656080102E-2</v>
      </c>
      <c r="AW37">
        <f t="shared" si="25"/>
        <v>2015</v>
      </c>
      <c r="AX37">
        <f t="shared" si="6"/>
        <v>0.54967773750818527</v>
      </c>
      <c r="AY37">
        <f t="shared" si="7"/>
        <v>0.53890539971021356</v>
      </c>
      <c r="AZ37" s="10">
        <f t="shared" si="15"/>
        <v>2015</v>
      </c>
      <c r="BA37" s="10">
        <f t="shared" si="16"/>
        <v>0.53890539971021356</v>
      </c>
      <c r="BB37" s="3"/>
      <c r="BQ37">
        <v>1977</v>
      </c>
      <c r="BR37">
        <v>40.299999999999997</v>
      </c>
      <c r="BS37" t="str">
        <f t="shared" si="26"/>
        <v/>
      </c>
      <c r="BT37" s="1">
        <f t="shared" si="27"/>
        <v>40.299999999999997</v>
      </c>
      <c r="BV37">
        <f t="shared" si="23"/>
        <v>1977</v>
      </c>
      <c r="BW37" s="1">
        <v>20.8</v>
      </c>
      <c r="BY37">
        <f t="shared" si="10"/>
        <v>20.88421052631579</v>
      </c>
      <c r="BZ37">
        <f t="shared" si="38"/>
        <v>4.788306451612903</v>
      </c>
      <c r="CA37" t="s">
        <v>39</v>
      </c>
      <c r="CB37">
        <f t="shared" si="36"/>
        <v>1977</v>
      </c>
    </row>
    <row r="38" spans="1:80" x14ac:dyDescent="0.35">
      <c r="A38" s="2">
        <v>2011</v>
      </c>
      <c r="B38" s="5">
        <v>93.4</v>
      </c>
      <c r="C38" s="7">
        <v>94.216333333333324</v>
      </c>
      <c r="D38" s="1">
        <f t="shared" si="33"/>
        <v>93.4</v>
      </c>
      <c r="E38" s="10">
        <f t="shared" si="28"/>
        <v>2011</v>
      </c>
      <c r="F38" s="11">
        <f t="shared" si="29"/>
        <v>93.4</v>
      </c>
      <c r="G38" s="14">
        <f t="shared" si="30"/>
        <v>1.0447427293064877</v>
      </c>
      <c r="H38">
        <v>4.46</v>
      </c>
      <c r="I38">
        <v>3.12</v>
      </c>
      <c r="J38" s="14"/>
      <c r="S38">
        <f t="shared" si="34"/>
        <v>1999</v>
      </c>
      <c r="T38" s="6">
        <v>36495</v>
      </c>
      <c r="U38">
        <v>3242.06</v>
      </c>
      <c r="V38">
        <v>2.86E-2</v>
      </c>
      <c r="W38">
        <v>6591.8</v>
      </c>
      <c r="X38" s="3">
        <v>2.12E-2</v>
      </c>
      <c r="Y38" s="3"/>
      <c r="Z38">
        <f t="shared" si="32"/>
        <v>1.1767481173448884</v>
      </c>
      <c r="AA38">
        <f t="shared" si="35"/>
        <v>1.1620591671977263</v>
      </c>
      <c r="AB38" s="15">
        <f t="shared" si="37"/>
        <v>0.16205916719772628</v>
      </c>
      <c r="AC38">
        <v>23.42</v>
      </c>
      <c r="AD38">
        <v>21.8</v>
      </c>
      <c r="AE38">
        <v>25.34</v>
      </c>
      <c r="AF38">
        <v>22.63</v>
      </c>
      <c r="AH38">
        <v>2010</v>
      </c>
      <c r="AI38">
        <v>3.72</v>
      </c>
      <c r="AJ38">
        <v>0.41</v>
      </c>
      <c r="AL38">
        <v>2010</v>
      </c>
      <c r="AM38">
        <v>13.74</v>
      </c>
      <c r="AN38">
        <v>10.11</v>
      </c>
      <c r="AP38">
        <v>2010</v>
      </c>
      <c r="AQ38" s="15">
        <f t="shared" si="2"/>
        <v>9.6518181818181841</v>
      </c>
      <c r="AS38">
        <v>2016</v>
      </c>
      <c r="AT38">
        <v>282511</v>
      </c>
      <c r="AU38">
        <f t="shared" si="14"/>
        <v>2.1536403247093716E-2</v>
      </c>
      <c r="AW38">
        <f t="shared" si="25"/>
        <v>2016</v>
      </c>
      <c r="AX38">
        <f t="shared" si="6"/>
        <v>0.47652440243643596</v>
      </c>
      <c r="AY38">
        <f t="shared" si="7"/>
        <v>0.43796912306914004</v>
      </c>
      <c r="AZ38" s="10">
        <f t="shared" si="15"/>
        <v>2016</v>
      </c>
      <c r="BA38" s="10">
        <f t="shared" si="16"/>
        <v>0.43796912306914004</v>
      </c>
      <c r="BB38" s="3"/>
      <c r="BQ38">
        <v>1978</v>
      </c>
      <c r="BR38">
        <v>42</v>
      </c>
      <c r="BS38" t="str">
        <f t="shared" si="26"/>
        <v/>
      </c>
      <c r="BT38" s="1">
        <f t="shared" si="27"/>
        <v>42</v>
      </c>
      <c r="BV38">
        <f t="shared" si="23"/>
        <v>1978</v>
      </c>
      <c r="BW38" s="1">
        <v>22.8</v>
      </c>
      <c r="BY38">
        <f t="shared" si="10"/>
        <v>22.892307692307693</v>
      </c>
      <c r="BZ38">
        <f t="shared" si="38"/>
        <v>4.368279569892473</v>
      </c>
      <c r="CA38" t="s">
        <v>39</v>
      </c>
      <c r="CB38">
        <f t="shared" si="36"/>
        <v>1978</v>
      </c>
    </row>
    <row r="39" spans="1:80" x14ac:dyDescent="0.35">
      <c r="A39" s="2">
        <v>2012</v>
      </c>
      <c r="B39" s="5">
        <v>96.1</v>
      </c>
      <c r="C39" s="7">
        <v>96.716666666666669</v>
      </c>
      <c r="D39" s="1">
        <f t="shared" si="33"/>
        <v>96.1</v>
      </c>
      <c r="E39" s="10">
        <f t="shared" si="28"/>
        <v>2012</v>
      </c>
      <c r="F39" s="11">
        <f t="shared" si="29"/>
        <v>96.1</v>
      </c>
      <c r="G39" s="14">
        <f>F39/F38</f>
        <v>1.0289079229122053</v>
      </c>
      <c r="H39">
        <v>2.83</v>
      </c>
      <c r="I39">
        <v>2.09</v>
      </c>
      <c r="J39" s="14"/>
      <c r="S39">
        <f t="shared" si="34"/>
        <v>2000</v>
      </c>
      <c r="T39" s="6">
        <v>36861</v>
      </c>
      <c r="U39">
        <v>2983.81</v>
      </c>
      <c r="V39">
        <v>2.76E-2</v>
      </c>
      <c r="W39">
        <v>6142.2</v>
      </c>
      <c r="X39" s="3">
        <v>2.23E-2</v>
      </c>
      <c r="Y39" s="3"/>
      <c r="Z39">
        <f t="shared" si="32"/>
        <v>0.95299404714948865</v>
      </c>
      <c r="AA39">
        <f t="shared" si="35"/>
        <v>0.94512889682913515</v>
      </c>
      <c r="AB39" s="15">
        <f t="shared" si="37"/>
        <v>-5.4871103170864854E-2</v>
      </c>
      <c r="AC39">
        <v>-2.9</v>
      </c>
      <c r="AD39">
        <v>-3.67</v>
      </c>
      <c r="AE39">
        <v>-12.92</v>
      </c>
      <c r="AF39">
        <v>-15.75</v>
      </c>
      <c r="AH39">
        <v>2011</v>
      </c>
      <c r="AI39">
        <v>7.99</v>
      </c>
      <c r="AJ39">
        <v>3.38</v>
      </c>
      <c r="AL39">
        <v>2011</v>
      </c>
      <c r="AM39">
        <v>6.01</v>
      </c>
      <c r="AN39">
        <v>1.48</v>
      </c>
      <c r="AP39">
        <v>2011</v>
      </c>
      <c r="AQ39" s="15">
        <f t="shared" si="2"/>
        <v>-6.4613636363636369</v>
      </c>
      <c r="AS39">
        <v>2017</v>
      </c>
      <c r="AT39">
        <v>280304</v>
      </c>
      <c r="AU39">
        <f t="shared" si="14"/>
        <v>-7.8120851931429147E-3</v>
      </c>
      <c r="AW39">
        <f t="shared" si="25"/>
        <v>2017</v>
      </c>
      <c r="AX39">
        <f t="shared" si="6"/>
        <v>0.59604540941142192</v>
      </c>
      <c r="AY39">
        <f t="shared" si="7"/>
        <v>0.55836728359906518</v>
      </c>
      <c r="AZ39" s="10">
        <f t="shared" si="15"/>
        <v>2017</v>
      </c>
      <c r="BA39" s="10">
        <f t="shared" si="16"/>
        <v>0.55836728359906518</v>
      </c>
      <c r="BB39" s="3"/>
      <c r="BQ39">
        <v>1979</v>
      </c>
      <c r="BR39">
        <v>43.5</v>
      </c>
      <c r="BS39" t="str">
        <f t="shared" si="26"/>
        <v/>
      </c>
      <c r="BT39" s="1">
        <f t="shared" si="27"/>
        <v>43.5</v>
      </c>
      <c r="BV39">
        <f t="shared" si="23"/>
        <v>1979</v>
      </c>
      <c r="BW39" s="1">
        <v>26</v>
      </c>
      <c r="BY39">
        <f t="shared" si="10"/>
        <v>26.105263157894736</v>
      </c>
      <c r="BZ39">
        <f t="shared" si="38"/>
        <v>3.8306451612903225</v>
      </c>
      <c r="CA39" t="s">
        <v>39</v>
      </c>
      <c r="CB39">
        <f t="shared" si="36"/>
        <v>1979</v>
      </c>
    </row>
    <row r="40" spans="1:80" x14ac:dyDescent="0.35">
      <c r="A40" s="2">
        <v>2013</v>
      </c>
      <c r="B40" s="5">
        <v>98.5</v>
      </c>
      <c r="C40" s="7">
        <v>98.945333333333323</v>
      </c>
      <c r="D40" s="1">
        <f t="shared" si="33"/>
        <v>98.5</v>
      </c>
      <c r="E40" s="10">
        <f t="shared" si="28"/>
        <v>2013</v>
      </c>
      <c r="F40" s="11">
        <f t="shared" si="29"/>
        <v>98.5</v>
      </c>
      <c r="G40" s="14">
        <f>F40/F39</f>
        <v>1.0249739854318418</v>
      </c>
      <c r="H40">
        <v>2.56</v>
      </c>
      <c r="I40">
        <v>1.48</v>
      </c>
      <c r="J40" s="14"/>
      <c r="S40">
        <f t="shared" si="34"/>
        <v>2001</v>
      </c>
      <c r="T40" s="6">
        <v>37226</v>
      </c>
      <c r="U40">
        <v>2523.88</v>
      </c>
      <c r="V40">
        <v>3.3399999999999999E-2</v>
      </c>
      <c r="W40">
        <v>5203.6000000000004</v>
      </c>
      <c r="X40" s="3">
        <v>2.63E-2</v>
      </c>
      <c r="Y40" s="3"/>
      <c r="Z40">
        <f t="shared" si="32"/>
        <v>0.8694883038650647</v>
      </c>
      <c r="AA40">
        <f t="shared" si="35"/>
        <v>0.85885597406236702</v>
      </c>
      <c r="AB40" s="15">
        <f t="shared" si="37"/>
        <v>-0.14114402593763298</v>
      </c>
      <c r="AC40">
        <v>-13.68</v>
      </c>
      <c r="AD40">
        <v>-14.73</v>
      </c>
      <c r="AE40">
        <v>-16.52</v>
      </c>
      <c r="AF40">
        <v>-18.829999999999998</v>
      </c>
      <c r="AH40">
        <v>2012</v>
      </c>
      <c r="AI40">
        <v>13.94</v>
      </c>
      <c r="AJ40">
        <v>10.8</v>
      </c>
      <c r="AL40">
        <v>2012</v>
      </c>
      <c r="AM40">
        <v>9.1300000000000008</v>
      </c>
      <c r="AN40">
        <v>6.12</v>
      </c>
      <c r="AP40">
        <v>2012</v>
      </c>
      <c r="AQ40" s="15">
        <f t="shared" si="2"/>
        <v>13.242500000000001</v>
      </c>
      <c r="AS40">
        <v>2018</v>
      </c>
      <c r="AT40">
        <v>282713</v>
      </c>
      <c r="AU40">
        <f t="shared" si="14"/>
        <v>8.5942405388435006E-3</v>
      </c>
      <c r="AW40">
        <f t="shared" si="25"/>
        <v>2018</v>
      </c>
      <c r="AX40">
        <f t="shared" si="6"/>
        <v>0.54685643772209125</v>
      </c>
      <c r="AY40">
        <f t="shared" si="7"/>
        <v>0.51959273427429964</v>
      </c>
      <c r="AZ40" s="10">
        <f t="shared" si="15"/>
        <v>2018</v>
      </c>
      <c r="BA40" s="10">
        <f t="shared" si="16"/>
        <v>0.51959273427429964</v>
      </c>
      <c r="BB40" s="3"/>
      <c r="BQ40">
        <v>1980</v>
      </c>
      <c r="BR40">
        <v>42.6</v>
      </c>
      <c r="BS40" t="str">
        <f t="shared" si="26"/>
        <v/>
      </c>
      <c r="BT40" s="1">
        <f t="shared" si="27"/>
        <v>42.6</v>
      </c>
      <c r="BV40">
        <f t="shared" si="23"/>
        <v>1980</v>
      </c>
      <c r="BW40" s="1">
        <v>30.4</v>
      </c>
      <c r="BY40">
        <f t="shared" si="10"/>
        <v>30.523076923076921</v>
      </c>
      <c r="BZ40">
        <f t="shared" si="38"/>
        <v>3.276209677419355</v>
      </c>
      <c r="CA40" t="s">
        <v>39</v>
      </c>
      <c r="CB40">
        <f t="shared" si="36"/>
        <v>1980</v>
      </c>
    </row>
    <row r="41" spans="1:80" x14ac:dyDescent="0.35">
      <c r="A41" s="2">
        <v>2014</v>
      </c>
      <c r="B41" s="5">
        <v>100</v>
      </c>
      <c r="C41" s="7">
        <v>99.985000000000014</v>
      </c>
      <c r="D41" s="1">
        <f t="shared" si="33"/>
        <v>100</v>
      </c>
      <c r="E41" s="10">
        <f t="shared" si="28"/>
        <v>2014</v>
      </c>
      <c r="F41" s="11">
        <f t="shared" si="29"/>
        <v>100</v>
      </c>
      <c r="G41" s="14">
        <f>F41/F40</f>
        <v>1.015228426395939</v>
      </c>
      <c r="H41">
        <v>1.46</v>
      </c>
      <c r="I41">
        <v>1.59</v>
      </c>
      <c r="J41" s="14"/>
      <c r="S41">
        <f t="shared" si="34"/>
        <v>2002</v>
      </c>
      <c r="T41" s="6">
        <v>37591</v>
      </c>
      <c r="U41">
        <v>1893.73</v>
      </c>
      <c r="V41">
        <v>4.0599999999999997E-2</v>
      </c>
      <c r="W41">
        <v>4169.3999999999996</v>
      </c>
      <c r="X41" s="3">
        <v>3.5499999999999997E-2</v>
      </c>
      <c r="Y41" s="3"/>
      <c r="Z41">
        <f t="shared" si="32"/>
        <v>0.8275529787070488</v>
      </c>
      <c r="AA41">
        <f t="shared" si="35"/>
        <v>0.81755569440052067</v>
      </c>
      <c r="AB41" s="15">
        <f t="shared" si="37"/>
        <v>-0.18244430559947933</v>
      </c>
      <c r="AC41">
        <v>-21.13</v>
      </c>
      <c r="AD41">
        <v>-22.11</v>
      </c>
      <c r="AE41">
        <v>-19.54</v>
      </c>
      <c r="AF41">
        <v>-20.79</v>
      </c>
      <c r="AH41">
        <v>2013</v>
      </c>
      <c r="AI41">
        <v>-2.58</v>
      </c>
      <c r="AJ41">
        <v>-5.01</v>
      </c>
      <c r="AL41">
        <v>2013</v>
      </c>
      <c r="AM41">
        <v>4.99</v>
      </c>
      <c r="AN41">
        <v>2.36</v>
      </c>
      <c r="AP41">
        <v>2013</v>
      </c>
      <c r="AQ41" s="15">
        <f t="shared" si="2"/>
        <v>20.899090909090912</v>
      </c>
      <c r="AS41">
        <v>2019</v>
      </c>
      <c r="AT41">
        <v>282174</v>
      </c>
      <c r="AU41">
        <f t="shared" si="14"/>
        <v>-1.9065271140698004E-3</v>
      </c>
      <c r="AW41">
        <f t="shared" si="25"/>
        <v>2019</v>
      </c>
      <c r="AX41">
        <f t="shared" si="6"/>
        <v>0.51477346119975387</v>
      </c>
      <c r="AY41">
        <f t="shared" si="7"/>
        <v>0.50223163861392339</v>
      </c>
      <c r="AZ41" s="10">
        <f t="shared" si="15"/>
        <v>2019</v>
      </c>
      <c r="BA41" s="10">
        <f t="shared" si="16"/>
        <v>0.50223163861392339</v>
      </c>
      <c r="BB41" s="3"/>
      <c r="BQ41">
        <v>1981</v>
      </c>
      <c r="BR41">
        <v>42.3</v>
      </c>
      <c r="BS41" t="str">
        <f t="shared" si="26"/>
        <v/>
      </c>
      <c r="BT41" s="1">
        <f t="shared" si="27"/>
        <v>42.3</v>
      </c>
      <c r="BV41">
        <f t="shared" si="23"/>
        <v>1981</v>
      </c>
      <c r="BW41" s="1">
        <v>34.1</v>
      </c>
      <c r="BY41">
        <f t="shared" ref="BY41:BY72" si="40">IF(BV41&lt;$B$4,BY42*BW41/BW42,IF(BV41&gt;$B$5,BY40*BW41/BW40,VLOOKUP(BV41,$A$15:$D$119,4,FALSE)))</f>
        <v>34.238056680161947</v>
      </c>
      <c r="BZ41">
        <f t="shared" si="38"/>
        <v>2.920726515939835</v>
      </c>
      <c r="CA41" t="s">
        <v>39</v>
      </c>
      <c r="CB41">
        <f t="shared" si="36"/>
        <v>1981</v>
      </c>
    </row>
    <row r="42" spans="1:80" x14ac:dyDescent="0.35">
      <c r="A42" s="2">
        <v>2015</v>
      </c>
      <c r="B42" s="5">
        <v>100</v>
      </c>
      <c r="C42" s="7">
        <v>100.08633333333333</v>
      </c>
      <c r="D42" s="1">
        <f t="shared" si="33"/>
        <v>100</v>
      </c>
      <c r="E42" s="10">
        <f t="shared" si="28"/>
        <v>2015</v>
      </c>
      <c r="F42" s="11">
        <f t="shared" si="29"/>
        <v>100</v>
      </c>
      <c r="G42" s="14">
        <f>F42/F41</f>
        <v>1</v>
      </c>
      <c r="H42">
        <v>0.04</v>
      </c>
      <c r="I42">
        <v>0.13</v>
      </c>
      <c r="J42" s="14"/>
      <c r="S42">
        <f t="shared" si="34"/>
        <v>2003</v>
      </c>
      <c r="T42" s="6">
        <v>37956</v>
      </c>
      <c r="U42">
        <v>2207.38</v>
      </c>
      <c r="V42">
        <v>3.1E-2</v>
      </c>
      <c r="W42">
        <v>4342.6000000000004</v>
      </c>
      <c r="X42" s="3">
        <v>3.1E-2</v>
      </c>
      <c r="Y42" s="3"/>
      <c r="Z42">
        <f t="shared" si="32"/>
        <v>1.0770407492684801</v>
      </c>
      <c r="AA42">
        <f t="shared" si="35"/>
        <v>1.0627753088808181</v>
      </c>
      <c r="AB42" s="15">
        <f t="shared" si="37"/>
        <v>6.2775308880818059E-2</v>
      </c>
      <c r="AC42">
        <v>17.62</v>
      </c>
      <c r="AD42">
        <v>16.04</v>
      </c>
      <c r="AE42">
        <v>33.76</v>
      </c>
      <c r="AF42">
        <v>30.78</v>
      </c>
      <c r="AH42">
        <v>2014</v>
      </c>
      <c r="AI42">
        <v>1.1399999999999999</v>
      </c>
      <c r="AJ42">
        <v>-0.32</v>
      </c>
      <c r="AL42">
        <v>2014</v>
      </c>
      <c r="AM42">
        <v>3.67</v>
      </c>
      <c r="AN42">
        <v>2.1800000000000002</v>
      </c>
      <c r="AP42">
        <v>2014</v>
      </c>
      <c r="AQ42" s="15">
        <f t="shared" si="2"/>
        <v>3.2647727272727276</v>
      </c>
      <c r="AS42">
        <v>2020</v>
      </c>
      <c r="AT42">
        <v>303278</v>
      </c>
      <c r="AU42">
        <f t="shared" si="14"/>
        <v>7.4790731959712753E-2</v>
      </c>
      <c r="AW42">
        <f t="shared" si="25"/>
        <v>2020</v>
      </c>
      <c r="AX42">
        <f t="shared" si="6"/>
        <v>0.45168958721276803</v>
      </c>
      <c r="AY42">
        <f t="shared" si="7"/>
        <v>0.41396647069917458</v>
      </c>
      <c r="AZ42" s="10">
        <f t="shared" si="15"/>
        <v>2020</v>
      </c>
      <c r="BA42" s="10">
        <f t="shared" si="16"/>
        <v>0.41396647069917458</v>
      </c>
      <c r="BB42" s="3"/>
      <c r="BQ42">
        <v>1982</v>
      </c>
      <c r="BR42">
        <v>43.2</v>
      </c>
      <c r="BS42" t="str">
        <f t="shared" si="26"/>
        <v/>
      </c>
      <c r="BT42" s="1">
        <f t="shared" si="27"/>
        <v>43.2</v>
      </c>
      <c r="BV42">
        <f t="shared" si="23"/>
        <v>1982</v>
      </c>
      <c r="BW42" s="1">
        <v>37.299999999999997</v>
      </c>
      <c r="BY42">
        <f t="shared" si="40"/>
        <v>37.45101214574899</v>
      </c>
      <c r="BZ42">
        <f t="shared" si="38"/>
        <v>2.6701548041165788</v>
      </c>
      <c r="CA42" t="s">
        <v>39</v>
      </c>
      <c r="CB42">
        <f t="shared" si="36"/>
        <v>1982</v>
      </c>
    </row>
    <row r="43" spans="1:80" x14ac:dyDescent="0.35">
      <c r="A43" s="2">
        <v>2016</v>
      </c>
      <c r="B43" s="8">
        <v>100.7</v>
      </c>
      <c r="C43" s="7">
        <v>101.19475</v>
      </c>
      <c r="D43" s="1">
        <f t="shared" si="33"/>
        <v>100.7</v>
      </c>
      <c r="E43" s="10">
        <f t="shared" si="28"/>
        <v>2016</v>
      </c>
      <c r="F43" s="11">
        <f t="shared" si="29"/>
        <v>100.7</v>
      </c>
      <c r="G43" s="14">
        <f t="shared" si="30"/>
        <v>1.0070000000000001</v>
      </c>
      <c r="H43">
        <v>0.66</v>
      </c>
      <c r="I43">
        <v>1.27</v>
      </c>
      <c r="J43" s="14"/>
      <c r="S43">
        <f t="shared" si="34"/>
        <v>2004</v>
      </c>
      <c r="T43" s="6">
        <v>38322</v>
      </c>
      <c r="U43">
        <v>2412.3000000000002</v>
      </c>
      <c r="V43">
        <v>0.03</v>
      </c>
      <c r="W43">
        <v>4703.2</v>
      </c>
      <c r="X43" s="3">
        <v>3.0499999999999999E-2</v>
      </c>
      <c r="Y43" s="3"/>
      <c r="Z43">
        <f t="shared" si="32"/>
        <v>1.1140378114493619</v>
      </c>
      <c r="AA43">
        <f t="shared" si="35"/>
        <v>1.0994752256787821</v>
      </c>
      <c r="AB43" s="15">
        <f t="shared" si="37"/>
        <v>9.9475225678782087E-2</v>
      </c>
      <c r="AC43">
        <v>12.63</v>
      </c>
      <c r="AD43">
        <v>11.14</v>
      </c>
      <c r="AE43">
        <v>15.25</v>
      </c>
      <c r="AF43">
        <v>12.26</v>
      </c>
      <c r="AH43">
        <v>2015</v>
      </c>
      <c r="AI43">
        <v>8.8699999999999992</v>
      </c>
      <c r="AJ43">
        <v>8.83</v>
      </c>
      <c r="AL43">
        <v>2015</v>
      </c>
      <c r="AM43">
        <v>6.37</v>
      </c>
      <c r="AN43">
        <v>6.33</v>
      </c>
      <c r="AP43">
        <v>2015</v>
      </c>
      <c r="AQ43" s="15">
        <f t="shared" si="2"/>
        <v>0.76454545454545453</v>
      </c>
      <c r="AS43">
        <v>2021</v>
      </c>
      <c r="AT43">
        <v>323595</v>
      </c>
      <c r="AU43">
        <f t="shared" si="14"/>
        <v>6.6991341277639727E-2</v>
      </c>
      <c r="AW43">
        <f t="shared" si="25"/>
        <v>2021</v>
      </c>
      <c r="AX43">
        <f t="shared" si="6"/>
        <v>0.64426765858244817</v>
      </c>
      <c r="AY43">
        <f t="shared" si="7"/>
        <v>0.50780830482991979</v>
      </c>
      <c r="AZ43" s="10">
        <f t="shared" si="15"/>
        <v>2021</v>
      </c>
      <c r="BA43" s="10">
        <f t="shared" si="16"/>
        <v>0.50780830482991979</v>
      </c>
      <c r="BB43" s="3"/>
      <c r="BQ43">
        <v>1983</v>
      </c>
      <c r="BR43">
        <v>45</v>
      </c>
      <c r="BS43" t="str">
        <f t="shared" si="26"/>
        <v/>
      </c>
      <c r="BT43" s="1">
        <f t="shared" si="27"/>
        <v>45</v>
      </c>
      <c r="BV43">
        <f t="shared" si="23"/>
        <v>1983</v>
      </c>
      <c r="BW43" s="1">
        <v>39.5</v>
      </c>
      <c r="BY43">
        <f t="shared" si="40"/>
        <v>39.659919028340084</v>
      </c>
      <c r="BZ43">
        <f t="shared" si="38"/>
        <v>2.5214373213556551</v>
      </c>
      <c r="CA43" t="s">
        <v>39</v>
      </c>
      <c r="CB43">
        <f t="shared" si="36"/>
        <v>1983</v>
      </c>
    </row>
    <row r="44" spans="1:80" x14ac:dyDescent="0.35">
      <c r="A44" s="2">
        <v>2017</v>
      </c>
      <c r="B44" s="9">
        <v>103.4</v>
      </c>
      <c r="C44" s="7">
        <v>104.05341666666666</v>
      </c>
      <c r="D44" s="1">
        <f t="shared" si="33"/>
        <v>103.4</v>
      </c>
      <c r="E44" s="10">
        <f t="shared" si="28"/>
        <v>2017</v>
      </c>
      <c r="F44" s="11">
        <f t="shared" si="29"/>
        <v>103.4</v>
      </c>
      <c r="G44" s="14">
        <f t="shared" si="30"/>
        <v>1.0268123138033765</v>
      </c>
      <c r="H44">
        <v>2.68</v>
      </c>
      <c r="I44">
        <v>2.13</v>
      </c>
      <c r="J44" s="14"/>
      <c r="S44">
        <f t="shared" si="34"/>
        <v>2005</v>
      </c>
      <c r="T44" s="6">
        <v>38687</v>
      </c>
      <c r="U44">
        <v>2847.02</v>
      </c>
      <c r="V44">
        <v>2.9499999999999998E-2</v>
      </c>
      <c r="W44">
        <v>5423.2</v>
      </c>
      <c r="X44" s="3">
        <v>2.9500000000000002E-2</v>
      </c>
      <c r="Y44" s="3"/>
      <c r="Z44">
        <f t="shared" si="32"/>
        <v>1.1835872597380506</v>
      </c>
      <c r="AA44">
        <f t="shared" si="35"/>
        <v>1.1593396334181929</v>
      </c>
      <c r="AB44" s="15">
        <f t="shared" si="37"/>
        <v>0.15933963341819291</v>
      </c>
      <c r="AC44">
        <v>21.42</v>
      </c>
      <c r="AD44">
        <v>18.97</v>
      </c>
      <c r="AE44">
        <v>10.02</v>
      </c>
      <c r="AF44">
        <v>6.41</v>
      </c>
      <c r="AH44">
        <v>2016</v>
      </c>
      <c r="AI44">
        <v>7.25</v>
      </c>
      <c r="AJ44">
        <v>6.55</v>
      </c>
      <c r="AL44">
        <v>2016</v>
      </c>
      <c r="AM44">
        <v>5.88</v>
      </c>
      <c r="AN44">
        <v>5.19</v>
      </c>
      <c r="AP44">
        <v>2016</v>
      </c>
      <c r="AQ44" s="15">
        <f t="shared" si="2"/>
        <v>7.2181818181818178</v>
      </c>
      <c r="AS44">
        <v>2022</v>
      </c>
      <c r="AU44">
        <f>AVERAGE(AU32:AU43)</f>
        <v>3.1053707487730075E-2</v>
      </c>
      <c r="AZ44" s="10">
        <f>AZ43+1</f>
        <v>2022</v>
      </c>
      <c r="BA44" s="10">
        <f>AY6</f>
        <v>0.53335143844652355</v>
      </c>
      <c r="BB44" s="3"/>
      <c r="BQ44">
        <v>1984</v>
      </c>
      <c r="BR44">
        <v>46</v>
      </c>
      <c r="BS44" t="str">
        <f t="shared" si="26"/>
        <v/>
      </c>
      <c r="BT44" s="1">
        <f t="shared" si="27"/>
        <v>46</v>
      </c>
      <c r="BV44">
        <f t="shared" si="23"/>
        <v>1984</v>
      </c>
      <c r="BW44" s="1">
        <v>41.6</v>
      </c>
      <c r="BY44">
        <f t="shared" si="40"/>
        <v>41.768421052631588</v>
      </c>
      <c r="BZ44">
        <f t="shared" si="38"/>
        <v>2.3941532258064511</v>
      </c>
      <c r="CA44" t="s">
        <v>39</v>
      </c>
      <c r="CB44">
        <f t="shared" si="36"/>
        <v>1984</v>
      </c>
    </row>
    <row r="45" spans="1:80" x14ac:dyDescent="0.35">
      <c r="A45" s="2">
        <v>2018</v>
      </c>
      <c r="B45" s="9">
        <v>105.9</v>
      </c>
      <c r="C45" s="7">
        <v>106.41291666666667</v>
      </c>
      <c r="D45" s="1">
        <f t="shared" si="33"/>
        <v>105.9</v>
      </c>
      <c r="E45" s="10">
        <f t="shared" si="28"/>
        <v>2018</v>
      </c>
      <c r="F45" s="11">
        <f t="shared" si="29"/>
        <v>105.9</v>
      </c>
      <c r="G45" s="14">
        <f t="shared" si="30"/>
        <v>1.0241779497098646</v>
      </c>
      <c r="H45">
        <v>2.48</v>
      </c>
      <c r="I45">
        <v>2.44</v>
      </c>
      <c r="J45" s="14"/>
      <c r="S45">
        <f t="shared" si="34"/>
        <v>2006</v>
      </c>
      <c r="T45" s="6">
        <v>39052</v>
      </c>
      <c r="U45">
        <v>0</v>
      </c>
      <c r="V45">
        <v>0</v>
      </c>
      <c r="W45">
        <v>6048.8</v>
      </c>
      <c r="X45" s="3">
        <v>2.86E-2</v>
      </c>
      <c r="Y45" s="3"/>
      <c r="Z45">
        <f t="shared" si="32"/>
        <v>1.1448562472341055</v>
      </c>
      <c r="AA45">
        <f t="shared" si="35"/>
        <v>1.1190647422901581</v>
      </c>
      <c r="AB45" s="15">
        <f t="shared" si="37"/>
        <v>0.11906474229015807</v>
      </c>
      <c r="AC45">
        <v>16.84</v>
      </c>
      <c r="AD45">
        <v>14.18</v>
      </c>
      <c r="AE45">
        <v>20.65</v>
      </c>
      <c r="AF45">
        <v>16.88</v>
      </c>
      <c r="AH45">
        <v>2017</v>
      </c>
      <c r="AI45">
        <v>1.5</v>
      </c>
      <c r="AJ45">
        <v>-1.1499999999999999</v>
      </c>
      <c r="AL45">
        <v>2017</v>
      </c>
      <c r="AM45">
        <v>2.5</v>
      </c>
      <c r="AN45">
        <v>-0.18</v>
      </c>
      <c r="AP45">
        <v>2017</v>
      </c>
      <c r="AQ45" s="15">
        <f t="shared" si="2"/>
        <v>16.886136363636364</v>
      </c>
      <c r="BQ45">
        <v>1985</v>
      </c>
      <c r="BR45">
        <v>47.9</v>
      </c>
      <c r="BS45" t="str">
        <f t="shared" si="26"/>
        <v/>
      </c>
      <c r="BT45" s="1">
        <f t="shared" si="27"/>
        <v>47.9</v>
      </c>
      <c r="BV45">
        <f t="shared" si="23"/>
        <v>1985</v>
      </c>
      <c r="BW45" s="1">
        <v>43.3</v>
      </c>
      <c r="BY45">
        <f t="shared" si="40"/>
        <v>43.4753036437247</v>
      </c>
      <c r="BZ45">
        <f t="shared" si="38"/>
        <v>2.3001564478879533</v>
      </c>
      <c r="CA45" t="s">
        <v>39</v>
      </c>
      <c r="CB45">
        <f t="shared" si="36"/>
        <v>1985</v>
      </c>
    </row>
    <row r="46" spans="1:80" x14ac:dyDescent="0.35">
      <c r="A46" s="2">
        <v>2019</v>
      </c>
      <c r="B46" s="9">
        <v>107.8</v>
      </c>
      <c r="C46" s="7">
        <v>108.26375</v>
      </c>
      <c r="D46" s="1">
        <f t="shared" si="33"/>
        <v>107.8</v>
      </c>
      <c r="E46" s="10">
        <f t="shared" si="28"/>
        <v>2019</v>
      </c>
      <c r="F46" s="11">
        <f t="shared" si="29"/>
        <v>107.8</v>
      </c>
      <c r="G46" s="14">
        <f t="shared" si="30"/>
        <v>1.0179414542020773</v>
      </c>
      <c r="H46">
        <v>1.79</v>
      </c>
      <c r="I46">
        <v>1.81</v>
      </c>
      <c r="J46" s="14"/>
      <c r="S46">
        <f t="shared" si="34"/>
        <v>2007</v>
      </c>
      <c r="T46" s="6">
        <v>39417</v>
      </c>
      <c r="U46">
        <v>0</v>
      </c>
      <c r="V46">
        <v>0</v>
      </c>
      <c r="W46">
        <v>6432.5</v>
      </c>
      <c r="X46" s="3">
        <v>3.0200000000000001E-2</v>
      </c>
      <c r="Y46" s="3"/>
      <c r="Z46">
        <f t="shared" si="32"/>
        <v>1.0920340695675175</v>
      </c>
      <c r="AA46">
        <f t="shared" si="35"/>
        <v>1.0666689750421108</v>
      </c>
      <c r="AB46" s="15">
        <f t="shared" si="37"/>
        <v>6.6668975042110779E-2</v>
      </c>
      <c r="AC46">
        <v>5.48</v>
      </c>
      <c r="AD46">
        <v>3.08</v>
      </c>
      <c r="AE46">
        <v>9.57</v>
      </c>
      <c r="AF46">
        <v>6.56</v>
      </c>
      <c r="AH46">
        <v>2018</v>
      </c>
      <c r="AI46">
        <v>0.4</v>
      </c>
      <c r="AJ46">
        <v>-2.0299999999999998</v>
      </c>
      <c r="AL46">
        <v>2018</v>
      </c>
      <c r="AM46">
        <v>-2.2000000000000002</v>
      </c>
      <c r="AN46">
        <v>-4.57</v>
      </c>
      <c r="AP46">
        <v>2018</v>
      </c>
      <c r="AQ46" s="15">
        <f t="shared" si="2"/>
        <v>-9.45409090909091</v>
      </c>
      <c r="BQ46">
        <v>1986</v>
      </c>
      <c r="BR46">
        <v>49.4</v>
      </c>
      <c r="BS46" t="str">
        <f t="shared" si="26"/>
        <v/>
      </c>
      <c r="BT46" s="1">
        <f t="shared" si="27"/>
        <v>49.4</v>
      </c>
      <c r="BV46">
        <f t="shared" si="23"/>
        <v>1986</v>
      </c>
      <c r="BW46" s="1">
        <v>45.1</v>
      </c>
      <c r="BY46">
        <f t="shared" si="40"/>
        <v>45.282591093117418</v>
      </c>
      <c r="BZ46">
        <f t="shared" si="38"/>
        <v>2.2083541949788996</v>
      </c>
      <c r="CA46" t="s">
        <v>39</v>
      </c>
      <c r="CB46">
        <f t="shared" si="36"/>
        <v>1986</v>
      </c>
    </row>
    <row r="47" spans="1:80" x14ac:dyDescent="0.35">
      <c r="A47" s="2">
        <v>2020</v>
      </c>
      <c r="B47" s="9">
        <v>108.7</v>
      </c>
      <c r="C47" s="7">
        <v>108.9015</v>
      </c>
      <c r="D47" s="1">
        <f t="shared" si="33"/>
        <v>108.7</v>
      </c>
      <c r="E47" s="10">
        <f t="shared" si="28"/>
        <v>2020</v>
      </c>
      <c r="F47" s="11">
        <f t="shared" si="29"/>
        <v>108.7</v>
      </c>
      <c r="G47" s="14">
        <f t="shared" si="30"/>
        <v>1.0083487940630798</v>
      </c>
      <c r="H47">
        <v>0.85</v>
      </c>
      <c r="I47">
        <v>1.23</v>
      </c>
      <c r="J47" s="14"/>
      <c r="S47">
        <f t="shared" si="34"/>
        <v>2008</v>
      </c>
      <c r="T47" s="6">
        <v>39783</v>
      </c>
      <c r="U47">
        <v>0</v>
      </c>
      <c r="V47">
        <v>0</v>
      </c>
      <c r="W47">
        <v>4288</v>
      </c>
      <c r="X47" s="3">
        <v>4.4900000000000002E-2</v>
      </c>
      <c r="Y47" s="3"/>
      <c r="Z47">
        <f t="shared" si="32"/>
        <v>0.69681484648270497</v>
      </c>
      <c r="AA47">
        <f t="shared" si="35"/>
        <v>0.67295695917692167</v>
      </c>
      <c r="AB47" s="15">
        <f t="shared" si="37"/>
        <v>-0.32704304082307833</v>
      </c>
      <c r="AC47">
        <v>-30.59</v>
      </c>
      <c r="AD47">
        <v>-33.01</v>
      </c>
      <c r="AE47">
        <v>-40.33</v>
      </c>
      <c r="AF47">
        <v>-42.55</v>
      </c>
      <c r="AH47">
        <v>2019</v>
      </c>
      <c r="AI47">
        <v>9.4</v>
      </c>
      <c r="AJ47">
        <v>7.48</v>
      </c>
      <c r="AL47">
        <v>2019</v>
      </c>
      <c r="AM47">
        <v>9.1</v>
      </c>
      <c r="AN47">
        <v>7.18</v>
      </c>
      <c r="AP47">
        <v>2019</v>
      </c>
      <c r="AQ47" s="15">
        <f t="shared" si="2"/>
        <v>22.949545454545454</v>
      </c>
      <c r="BQ47">
        <v>1987</v>
      </c>
      <c r="BR47">
        <v>52.1</v>
      </c>
      <c r="BS47" t="str">
        <f t="shared" si="26"/>
        <v/>
      </c>
      <c r="BT47" s="1">
        <f t="shared" si="27"/>
        <v>52.1</v>
      </c>
      <c r="BV47">
        <f t="shared" si="23"/>
        <v>1987</v>
      </c>
      <c r="BW47" s="1">
        <v>47</v>
      </c>
      <c r="BY47">
        <f t="shared" si="40"/>
        <v>47.190283400809726</v>
      </c>
      <c r="BZ47">
        <f t="shared" si="38"/>
        <v>2.1190803019903908</v>
      </c>
      <c r="CA47" t="s">
        <v>39</v>
      </c>
      <c r="CB47">
        <f t="shared" si="36"/>
        <v>1987</v>
      </c>
    </row>
    <row r="48" spans="1:80" x14ac:dyDescent="0.35">
      <c r="A48" s="2">
        <v>2021</v>
      </c>
      <c r="B48" s="9">
        <v>111.6</v>
      </c>
      <c r="C48" s="7">
        <v>113.12943939940922</v>
      </c>
      <c r="D48" s="1">
        <f t="shared" si="33"/>
        <v>111.6</v>
      </c>
      <c r="E48" s="10">
        <f t="shared" si="28"/>
        <v>2021</v>
      </c>
      <c r="F48" s="11">
        <f t="shared" si="29"/>
        <v>111.6</v>
      </c>
      <c r="G48" s="14">
        <f t="shared" si="30"/>
        <v>1.0266789328426862</v>
      </c>
      <c r="H48">
        <v>2.52</v>
      </c>
      <c r="I48">
        <v>4.7</v>
      </c>
      <c r="S48">
        <f t="shared" si="34"/>
        <v>2009</v>
      </c>
      <c r="T48" s="6">
        <v>40148</v>
      </c>
      <c r="U48">
        <v>0</v>
      </c>
      <c r="V48">
        <v>0</v>
      </c>
      <c r="W48">
        <v>5190.7</v>
      </c>
      <c r="X48" s="3">
        <v>3.2000000000000001E-2</v>
      </c>
      <c r="Y48" s="3"/>
      <c r="Z48">
        <f t="shared" si="32"/>
        <v>1.2554177238805968</v>
      </c>
      <c r="AA48">
        <f t="shared" si="35"/>
        <v>1.2278739170056183</v>
      </c>
      <c r="AB48" s="15">
        <f t="shared" si="37"/>
        <v>0.22787391700561832</v>
      </c>
      <c r="AC48">
        <v>31.52</v>
      </c>
      <c r="AD48">
        <v>28.73</v>
      </c>
      <c r="AE48">
        <v>30.79</v>
      </c>
      <c r="AF48">
        <v>31.28</v>
      </c>
      <c r="AH48">
        <v>2020</v>
      </c>
      <c r="AI48">
        <v>9</v>
      </c>
      <c r="AJ48">
        <v>8.08</v>
      </c>
      <c r="AL48">
        <v>2020</v>
      </c>
      <c r="AM48">
        <v>8.6</v>
      </c>
      <c r="AN48">
        <v>7.68</v>
      </c>
      <c r="AP48">
        <v>2020</v>
      </c>
      <c r="AQ48" s="15">
        <f t="shared" si="2"/>
        <v>12.359090909090908</v>
      </c>
      <c r="BQ48">
        <v>1988</v>
      </c>
      <c r="BR48">
        <v>55</v>
      </c>
      <c r="BS48" t="str">
        <f t="shared" si="26"/>
        <v/>
      </c>
      <c r="BT48" s="1">
        <f t="shared" si="27"/>
        <v>55</v>
      </c>
      <c r="BV48">
        <f t="shared" si="23"/>
        <v>1988</v>
      </c>
      <c r="BW48" s="1">
        <v>49.4</v>
      </c>
      <c r="BY48">
        <f t="shared" si="40"/>
        <v>49.6</v>
      </c>
      <c r="BZ48">
        <f t="shared" si="38"/>
        <v>2.0161290322580645</v>
      </c>
      <c r="CA48" t="s">
        <v>39</v>
      </c>
      <c r="CB48">
        <f t="shared" si="36"/>
        <v>1988</v>
      </c>
    </row>
    <row r="49" spans="1:80" x14ac:dyDescent="0.35">
      <c r="A49">
        <f t="shared" ref="A49:A53" si="41">A48+1</f>
        <v>2022</v>
      </c>
      <c r="B49">
        <v>121.7</v>
      </c>
      <c r="C49" s="7">
        <v>122.18838391408273</v>
      </c>
      <c r="D49" s="1">
        <f t="shared" si="33"/>
        <v>121.7</v>
      </c>
      <c r="E49" s="10">
        <f t="shared" si="28"/>
        <v>2022</v>
      </c>
      <c r="F49" s="11">
        <f t="shared" si="29"/>
        <v>121.7</v>
      </c>
      <c r="G49" s="14">
        <f t="shared" si="30"/>
        <v>1.0905017921146953</v>
      </c>
      <c r="H49">
        <v>9.0500000000000007</v>
      </c>
      <c r="I49">
        <v>8</v>
      </c>
      <c r="S49">
        <f t="shared" si="34"/>
        <v>2010</v>
      </c>
      <c r="T49" s="6">
        <v>40513</v>
      </c>
      <c r="U49">
        <v>0</v>
      </c>
      <c r="V49">
        <v>0</v>
      </c>
      <c r="W49">
        <v>5528.3</v>
      </c>
      <c r="X49" s="3">
        <v>2.8900000000000002E-2</v>
      </c>
      <c r="Y49" s="3"/>
      <c r="Z49">
        <f t="shared" si="32"/>
        <v>1.0970393973837826</v>
      </c>
      <c r="AA49">
        <f t="shared" si="35"/>
        <v>1.0626802216267961</v>
      </c>
      <c r="AB49" s="15">
        <f t="shared" si="37"/>
        <v>6.2680221626796095E-2</v>
      </c>
      <c r="AC49">
        <v>15.58</v>
      </c>
      <c r="AD49">
        <v>11.89</v>
      </c>
      <c r="AE49">
        <v>12.34</v>
      </c>
      <c r="AF49">
        <v>10.49</v>
      </c>
      <c r="AH49">
        <v>2021</v>
      </c>
      <c r="AI49">
        <v>-5.5</v>
      </c>
      <c r="AJ49">
        <v>-7.82</v>
      </c>
      <c r="AL49">
        <v>2021</v>
      </c>
      <c r="AM49">
        <v>-1.2</v>
      </c>
      <c r="AN49">
        <v>-3.63</v>
      </c>
      <c r="AP49">
        <v>2021</v>
      </c>
      <c r="AQ49" s="15">
        <f t="shared" si="2"/>
        <v>13.584772727272728</v>
      </c>
      <c r="BQ49">
        <v>1989</v>
      </c>
      <c r="BR49">
        <v>56.3</v>
      </c>
      <c r="BS49" t="str">
        <f t="shared" si="26"/>
        <v/>
      </c>
      <c r="BT49" s="1">
        <f t="shared" si="27"/>
        <v>56.3</v>
      </c>
      <c r="BV49">
        <f t="shared" si="23"/>
        <v>1989</v>
      </c>
      <c r="BW49" s="1">
        <v>52.1</v>
      </c>
      <c r="BY49">
        <f t="shared" si="40"/>
        <v>52.2</v>
      </c>
      <c r="BZ49">
        <f t="shared" si="38"/>
        <v>1.9157088122605364</v>
      </c>
      <c r="CA49" t="s">
        <v>39</v>
      </c>
      <c r="CB49">
        <f t="shared" si="36"/>
        <v>1989</v>
      </c>
    </row>
    <row r="50" spans="1:80" x14ac:dyDescent="0.35">
      <c r="A50">
        <f t="shared" si="41"/>
        <v>2023</v>
      </c>
      <c r="C50" s="7">
        <v>125.07387589651778</v>
      </c>
      <c r="D50" s="1">
        <f t="shared" si="33"/>
        <v>124.57395874315898</v>
      </c>
      <c r="E50" s="10">
        <f t="shared" si="28"/>
        <v>2023</v>
      </c>
      <c r="F50" s="11">
        <f t="shared" si="29"/>
        <v>124.57395874315898</v>
      </c>
      <c r="G50" s="14">
        <f t="shared" si="30"/>
        <v>1.0236151088180689</v>
      </c>
      <c r="H50">
        <v>7.35</v>
      </c>
      <c r="I50">
        <v>4.12</v>
      </c>
      <c r="S50">
        <f t="shared" si="34"/>
        <v>2011</v>
      </c>
      <c r="T50" s="6">
        <v>40878</v>
      </c>
      <c r="U50">
        <v>0</v>
      </c>
      <c r="V50">
        <v>0</v>
      </c>
      <c r="W50">
        <v>5505.4</v>
      </c>
      <c r="X50" s="3">
        <v>3.5200000000000002E-2</v>
      </c>
      <c r="Y50">
        <v>4012.77</v>
      </c>
      <c r="Z50">
        <f t="shared" si="32"/>
        <v>1.0247576777671255</v>
      </c>
      <c r="AA50">
        <f t="shared" si="35"/>
        <v>0.98087083931885444</v>
      </c>
      <c r="AB50" s="15">
        <f t="shared" si="37"/>
        <v>-1.9129160681145563E-2</v>
      </c>
      <c r="AC50">
        <v>-4.1100000000000003</v>
      </c>
      <c r="AD50">
        <v>-8.2100000000000009</v>
      </c>
      <c r="AE50">
        <v>-5.0199999999999996</v>
      </c>
      <c r="AF50">
        <v>-7.89</v>
      </c>
      <c r="AH50">
        <v>2022</v>
      </c>
      <c r="AI50">
        <v>-24.7</v>
      </c>
      <c r="AJ50">
        <v>-30.95</v>
      </c>
      <c r="AL50">
        <v>2022</v>
      </c>
      <c r="AM50">
        <v>-18.2</v>
      </c>
      <c r="AN50">
        <v>-24.99</v>
      </c>
      <c r="AP50">
        <v>2022</v>
      </c>
      <c r="AQ50" s="15">
        <f t="shared" si="2"/>
        <v>-23.444090909090907</v>
      </c>
      <c r="BQ50">
        <v>1990</v>
      </c>
      <c r="BR50">
        <v>56.7</v>
      </c>
      <c r="BS50" t="str">
        <f t="shared" si="26"/>
        <v/>
      </c>
      <c r="BT50" s="1">
        <f t="shared" si="27"/>
        <v>56.7</v>
      </c>
      <c r="BV50">
        <f t="shared" si="23"/>
        <v>1990</v>
      </c>
      <c r="BW50" s="1">
        <v>56.1</v>
      </c>
      <c r="BY50">
        <f t="shared" si="40"/>
        <v>55.9</v>
      </c>
      <c r="BZ50">
        <f t="shared" si="38"/>
        <v>1.7889087656529516</v>
      </c>
      <c r="CA50" t="s">
        <v>39</v>
      </c>
      <c r="CB50">
        <f t="shared" si="36"/>
        <v>1990</v>
      </c>
    </row>
    <row r="51" spans="1:80" x14ac:dyDescent="0.35">
      <c r="A51">
        <f t="shared" si="41"/>
        <v>2024</v>
      </c>
      <c r="C51" s="7">
        <v>127.1388130734492</v>
      </c>
      <c r="D51" s="1">
        <f t="shared" si="33"/>
        <v>126.63064241784659</v>
      </c>
      <c r="E51" s="10">
        <f t="shared" si="28"/>
        <v>2024</v>
      </c>
      <c r="F51" s="11">
        <f t="shared" si="29"/>
        <v>126.63064241784659</v>
      </c>
      <c r="G51" s="14">
        <f t="shared" si="30"/>
        <v>1.0165097400406773</v>
      </c>
      <c r="H51">
        <v>2.5</v>
      </c>
      <c r="I51">
        <v>2.93</v>
      </c>
      <c r="S51">
        <f t="shared" si="34"/>
        <v>2012</v>
      </c>
      <c r="T51" s="6">
        <v>41244</v>
      </c>
      <c r="U51">
        <v>0</v>
      </c>
      <c r="V51">
        <v>0</v>
      </c>
      <c r="W51">
        <v>5320.9</v>
      </c>
      <c r="X51" s="3">
        <v>3.5200000000000002E-2</v>
      </c>
      <c r="Y51">
        <v>3934.37</v>
      </c>
      <c r="Z51">
        <f>W51/W50+X50</f>
        <v>1.001687448686744</v>
      </c>
      <c r="AA51">
        <f t="shared" si="35"/>
        <v>0.97354430496713729</v>
      </c>
      <c r="AB51" s="15">
        <f t="shared" si="37"/>
        <v>-2.6455695032862714E-2</v>
      </c>
      <c r="AC51">
        <v>13.79</v>
      </c>
      <c r="AD51">
        <v>10.66</v>
      </c>
      <c r="AE51">
        <v>16.54</v>
      </c>
      <c r="AF51">
        <v>14.15</v>
      </c>
      <c r="AH51">
        <v>2023</v>
      </c>
      <c r="AI51">
        <v>4</v>
      </c>
      <c r="AJ51">
        <v>-3.12</v>
      </c>
      <c r="AL51">
        <v>2023</v>
      </c>
      <c r="AM51">
        <v>7</v>
      </c>
      <c r="AN51">
        <v>-0.33</v>
      </c>
      <c r="AP51">
        <v>2023</v>
      </c>
      <c r="AQ51" s="15">
        <f t="shared" si="2"/>
        <v>15.2475</v>
      </c>
      <c r="BQ51">
        <v>1991</v>
      </c>
      <c r="BR51">
        <v>56</v>
      </c>
      <c r="BS51" t="str">
        <f t="shared" si="26"/>
        <v/>
      </c>
      <c r="BT51" s="1">
        <f t="shared" si="27"/>
        <v>56</v>
      </c>
      <c r="BV51">
        <f t="shared" si="23"/>
        <v>1991</v>
      </c>
      <c r="BW51" s="1">
        <v>60.5</v>
      </c>
      <c r="BY51">
        <f t="shared" si="40"/>
        <v>60.1</v>
      </c>
      <c r="BZ51">
        <f t="shared" si="38"/>
        <v>1.6638935108153077</v>
      </c>
      <c r="CA51" t="s">
        <v>39</v>
      </c>
      <c r="CB51">
        <f t="shared" si="36"/>
        <v>1991</v>
      </c>
    </row>
    <row r="52" spans="1:80" x14ac:dyDescent="0.35">
      <c r="A52">
        <f t="shared" si="41"/>
        <v>2025</v>
      </c>
      <c r="C52" s="7">
        <v>129.6351965030282</v>
      </c>
      <c r="D52" s="1">
        <f t="shared" si="33"/>
        <v>129.11704786530214</v>
      </c>
      <c r="E52" s="10">
        <f t="shared" si="28"/>
        <v>2025</v>
      </c>
      <c r="F52" s="11">
        <f t="shared" si="29"/>
        <v>129.11704786530214</v>
      </c>
      <c r="G52" s="14">
        <f t="shared" si="30"/>
        <v>1.0196351009517197</v>
      </c>
      <c r="H52">
        <v>2.8</v>
      </c>
      <c r="I52">
        <v>2.8</v>
      </c>
      <c r="S52">
        <f t="shared" si="34"/>
        <v>2013</v>
      </c>
      <c r="T52" s="6">
        <v>41609</v>
      </c>
      <c r="Y52">
        <v>4580.29</v>
      </c>
      <c r="Z52">
        <f>Y52/Y51</f>
        <v>1.1641736796488384</v>
      </c>
      <c r="AA52">
        <f t="shared" si="35"/>
        <v>1.1358080265406432</v>
      </c>
      <c r="AB52" s="15">
        <f t="shared" si="37"/>
        <v>0.13580802654064317</v>
      </c>
      <c r="AC52">
        <v>16.940000000000001</v>
      </c>
      <c r="AD52">
        <v>14.01</v>
      </c>
      <c r="AE52">
        <v>27.37</v>
      </c>
      <c r="AF52">
        <v>25.51</v>
      </c>
      <c r="AH52">
        <v>2024</v>
      </c>
      <c r="AI52">
        <v>-3</v>
      </c>
      <c r="AJ52">
        <v>-5.37</v>
      </c>
      <c r="AL52">
        <v>2024</v>
      </c>
      <c r="AM52">
        <v>2.2999999999999998</v>
      </c>
      <c r="AN52">
        <v>-0.2</v>
      </c>
      <c r="AP52">
        <v>2024</v>
      </c>
      <c r="AQ52" s="15">
        <f t="shared" si="2"/>
        <v>12.642954545454545</v>
      </c>
      <c r="BQ52">
        <v>1992</v>
      </c>
      <c r="BR52">
        <v>56.2</v>
      </c>
      <c r="BS52" t="str">
        <f t="shared" si="26"/>
        <v/>
      </c>
      <c r="BT52" s="1">
        <f t="shared" si="27"/>
        <v>56.2</v>
      </c>
      <c r="BV52">
        <f t="shared" si="23"/>
        <v>1992</v>
      </c>
      <c r="BW52" s="1">
        <v>63</v>
      </c>
      <c r="BY52">
        <f t="shared" si="40"/>
        <v>62.6</v>
      </c>
      <c r="BZ52">
        <f t="shared" si="38"/>
        <v>1.5974440894568689</v>
      </c>
      <c r="CA52" t="s">
        <v>39</v>
      </c>
      <c r="CB52">
        <f t="shared" si="36"/>
        <v>1992</v>
      </c>
    </row>
    <row r="53" spans="1:80" x14ac:dyDescent="0.35">
      <c r="A53">
        <f t="shared" si="41"/>
        <v>2026</v>
      </c>
      <c r="C53" s="7">
        <v>132.22790043308873</v>
      </c>
      <c r="D53" s="1">
        <f t="shared" si="33"/>
        <v>131.69938882260817</v>
      </c>
      <c r="E53" s="10">
        <f t="shared" si="28"/>
        <v>2026</v>
      </c>
      <c r="F53" s="11">
        <f t="shared" si="29"/>
        <v>131.69938882260817</v>
      </c>
      <c r="G53" s="14">
        <f t="shared" si="30"/>
        <v>1.0199999999999998</v>
      </c>
      <c r="S53">
        <f t="shared" si="34"/>
        <v>2014</v>
      </c>
      <c r="T53" s="6">
        <v>41974</v>
      </c>
      <c r="Y53">
        <v>5008.21</v>
      </c>
      <c r="Z53">
        <f t="shared" ref="Z53:Z64" si="42">Y53/Y52</f>
        <v>1.0934263987651438</v>
      </c>
      <c r="AA53">
        <f t="shared" si="35"/>
        <v>1.0770250027836668</v>
      </c>
      <c r="AB53" s="15">
        <f t="shared" si="37"/>
        <v>7.7025002783666752E-2</v>
      </c>
      <c r="AC53">
        <v>3.43</v>
      </c>
      <c r="AD53">
        <v>1.94</v>
      </c>
      <c r="AE53">
        <v>5.5</v>
      </c>
      <c r="AF53">
        <v>3.85</v>
      </c>
      <c r="AH53">
        <v>2025</v>
      </c>
      <c r="AI53">
        <v>2</v>
      </c>
      <c r="AJ53">
        <v>-0.78</v>
      </c>
      <c r="AL53">
        <v>2025</v>
      </c>
      <c r="AM53">
        <v>3.5</v>
      </c>
      <c r="AN53">
        <v>0.68</v>
      </c>
      <c r="AP53">
        <v>2025</v>
      </c>
      <c r="AQ53" s="15">
        <f t="shared" si="2"/>
        <v>15.085681818181818</v>
      </c>
      <c r="BQ53">
        <v>1993</v>
      </c>
      <c r="BR53">
        <v>57.5</v>
      </c>
      <c r="BS53" t="str">
        <f t="shared" si="26"/>
        <v/>
      </c>
      <c r="BT53" s="1">
        <f t="shared" si="27"/>
        <v>57.5</v>
      </c>
      <c r="BV53">
        <f t="shared" si="23"/>
        <v>1993</v>
      </c>
      <c r="BW53" s="1">
        <v>65</v>
      </c>
      <c r="BY53">
        <f t="shared" si="40"/>
        <v>64.2</v>
      </c>
      <c r="BZ53">
        <f t="shared" si="38"/>
        <v>1.557632398753894</v>
      </c>
      <c r="CA53" t="s">
        <v>39</v>
      </c>
      <c r="CB53">
        <f t="shared" si="36"/>
        <v>1993</v>
      </c>
    </row>
    <row r="54" spans="1:80" x14ac:dyDescent="0.35">
      <c r="E54" s="10">
        <f>E53+1</f>
        <v>2027</v>
      </c>
      <c r="F54" s="11">
        <f>F53*C6</f>
        <v>135.1276862908702</v>
      </c>
      <c r="G54" s="14">
        <f>F54/F53</f>
        <v>1.0260312329382162</v>
      </c>
      <c r="S54">
        <f t="shared" si="34"/>
        <v>2015</v>
      </c>
      <c r="T54" s="6">
        <v>42339</v>
      </c>
      <c r="Y54">
        <v>5329.14</v>
      </c>
      <c r="Z54">
        <f t="shared" si="42"/>
        <v>1.0640807793602904</v>
      </c>
      <c r="AA54">
        <f t="shared" si="35"/>
        <v>1.0640807793602904</v>
      </c>
      <c r="AB54" s="15">
        <f t="shared" si="37"/>
        <v>6.4080779360290441E-2</v>
      </c>
      <c r="AC54">
        <v>0.51</v>
      </c>
      <c r="AD54">
        <v>0.47</v>
      </c>
      <c r="AE54">
        <v>-0.32</v>
      </c>
      <c r="AF54">
        <v>-0.45</v>
      </c>
      <c r="AP54">
        <v>2026</v>
      </c>
      <c r="AQ54" s="15">
        <v>4.55</v>
      </c>
      <c r="BQ54">
        <v>1994</v>
      </c>
      <c r="BR54">
        <v>59.7</v>
      </c>
      <c r="BS54" t="str">
        <f t="shared" si="26"/>
        <v/>
      </c>
      <c r="BT54" s="1">
        <f t="shared" si="27"/>
        <v>59.7</v>
      </c>
      <c r="BV54">
        <f t="shared" si="23"/>
        <v>1994</v>
      </c>
      <c r="BW54" s="1">
        <v>66.099999999999994</v>
      </c>
      <c r="BY54">
        <f t="shared" si="40"/>
        <v>65.5</v>
      </c>
      <c r="BZ54">
        <f t="shared" si="38"/>
        <v>1.5267175572519085</v>
      </c>
      <c r="CA54" t="s">
        <v>39</v>
      </c>
      <c r="CB54">
        <f t="shared" si="36"/>
        <v>1994</v>
      </c>
    </row>
    <row r="55" spans="1:80" x14ac:dyDescent="0.35">
      <c r="S55">
        <f t="shared" si="34"/>
        <v>2016</v>
      </c>
      <c r="T55" s="6">
        <v>42705</v>
      </c>
      <c r="Y55">
        <v>4964.16</v>
      </c>
      <c r="Z55">
        <f t="shared" si="42"/>
        <v>0.9315124016257782</v>
      </c>
      <c r="AA55">
        <f t="shared" si="35"/>
        <v>0.92503714163433781</v>
      </c>
      <c r="AB55" s="15">
        <f t="shared" si="37"/>
        <v>-7.4962858365662188E-2</v>
      </c>
      <c r="AC55">
        <v>15.1</v>
      </c>
      <c r="AD55">
        <v>14.34</v>
      </c>
      <c r="AE55">
        <v>8.15</v>
      </c>
      <c r="AF55">
        <v>6.8</v>
      </c>
      <c r="BQ55">
        <v>1995</v>
      </c>
      <c r="BR55">
        <v>61.2</v>
      </c>
      <c r="BS55" t="str">
        <f t="shared" si="26"/>
        <v/>
      </c>
      <c r="BT55" s="1">
        <f t="shared" si="27"/>
        <v>61.2</v>
      </c>
      <c r="BV55">
        <f t="shared" si="23"/>
        <v>1995</v>
      </c>
      <c r="BW55" s="1">
        <v>68.099999999999994</v>
      </c>
      <c r="BY55">
        <f t="shared" si="40"/>
        <v>67.2</v>
      </c>
      <c r="BZ55">
        <f t="shared" si="38"/>
        <v>1.4880952380952381</v>
      </c>
      <c r="CA55" t="s">
        <v>39</v>
      </c>
      <c r="CB55">
        <f t="shared" si="36"/>
        <v>1995</v>
      </c>
    </row>
    <row r="56" spans="1:80" x14ac:dyDescent="0.35">
      <c r="S56">
        <f t="shared" si="34"/>
        <v>2017</v>
      </c>
      <c r="T56" s="6">
        <v>43070</v>
      </c>
      <c r="Y56">
        <v>5956.51</v>
      </c>
      <c r="Z56">
        <f t="shared" si="42"/>
        <v>1.1999029040159868</v>
      </c>
      <c r="AA56">
        <f t="shared" si="35"/>
        <v>1.1685708165803663</v>
      </c>
      <c r="AB56" s="15">
        <f t="shared" si="37"/>
        <v>0.16857081658036632</v>
      </c>
      <c r="AC56">
        <v>13.1</v>
      </c>
      <c r="AD56">
        <v>10.15</v>
      </c>
      <c r="AE56">
        <v>23.07</v>
      </c>
      <c r="AF56">
        <v>20.5</v>
      </c>
      <c r="BQ56">
        <v>1996</v>
      </c>
      <c r="BR56">
        <v>62.6</v>
      </c>
      <c r="BS56" t="str">
        <f t="shared" si="26"/>
        <v/>
      </c>
      <c r="BT56" s="1">
        <f t="shared" si="27"/>
        <v>62.6</v>
      </c>
      <c r="BV56">
        <f t="shared" si="23"/>
        <v>1996</v>
      </c>
      <c r="BW56" s="1">
        <v>70.400000000000006</v>
      </c>
      <c r="BY56">
        <f t="shared" si="40"/>
        <v>68.8</v>
      </c>
      <c r="BZ56">
        <f t="shared" si="38"/>
        <v>1.4534883720930234</v>
      </c>
      <c r="CA56" t="s">
        <v>39</v>
      </c>
      <c r="CB56">
        <f t="shared" si="36"/>
        <v>1996</v>
      </c>
    </row>
    <row r="57" spans="1:80" x14ac:dyDescent="0.35">
      <c r="S57">
        <f t="shared" si="34"/>
        <v>2018</v>
      </c>
      <c r="T57" s="6">
        <v>43435</v>
      </c>
      <c r="Y57">
        <v>6463.52</v>
      </c>
      <c r="Z57">
        <f t="shared" si="42"/>
        <v>1.085118634905339</v>
      </c>
      <c r="AA57">
        <f t="shared" si="35"/>
        <v>1.0595020476790562</v>
      </c>
      <c r="AB57" s="15">
        <f t="shared" si="37"/>
        <v>5.9502047679056203E-2</v>
      </c>
      <c r="AC57">
        <v>-9.5</v>
      </c>
      <c r="AD57">
        <v>-11.69</v>
      </c>
      <c r="AE57">
        <v>-8.1999999999999993</v>
      </c>
      <c r="AF57">
        <v>-10.39</v>
      </c>
      <c r="BQ57">
        <v>1997</v>
      </c>
      <c r="BR57">
        <v>65.7</v>
      </c>
      <c r="BS57" t="str">
        <f t="shared" si="26"/>
        <v/>
      </c>
      <c r="BT57" s="1">
        <f t="shared" si="27"/>
        <v>65.7</v>
      </c>
      <c r="BV57">
        <f t="shared" si="23"/>
        <v>1997</v>
      </c>
      <c r="BW57" s="1">
        <v>71.900000000000006</v>
      </c>
      <c r="BY57">
        <f t="shared" si="40"/>
        <v>70.099999999999994</v>
      </c>
      <c r="BZ57">
        <f t="shared" si="38"/>
        <v>1.4265335235378032</v>
      </c>
      <c r="CA57" t="s">
        <v>39</v>
      </c>
      <c r="CB57">
        <f t="shared" si="36"/>
        <v>1997</v>
      </c>
    </row>
    <row r="58" spans="1:80" x14ac:dyDescent="0.35">
      <c r="S58">
        <f t="shared" si="34"/>
        <v>2019</v>
      </c>
      <c r="T58" s="6">
        <v>43800</v>
      </c>
      <c r="Y58">
        <v>6666.82</v>
      </c>
      <c r="Z58">
        <f t="shared" si="42"/>
        <v>1.0314534495135776</v>
      </c>
      <c r="AA58">
        <f t="shared" si="35"/>
        <v>1.0132738432605555</v>
      </c>
      <c r="AB58" s="15">
        <f t="shared" si="37"/>
        <v>1.3273843260555473E-2</v>
      </c>
      <c r="AC58">
        <v>19.2</v>
      </c>
      <c r="AD58">
        <v>17.100000000000001</v>
      </c>
      <c r="AE58">
        <v>28.4</v>
      </c>
      <c r="AF58">
        <v>26.12</v>
      </c>
      <c r="BQ58">
        <v>1998</v>
      </c>
      <c r="BR58">
        <v>67.8</v>
      </c>
      <c r="BS58" t="str">
        <f t="shared" si="26"/>
        <v/>
      </c>
      <c r="BT58" s="1">
        <f t="shared" si="27"/>
        <v>67.8</v>
      </c>
      <c r="BV58">
        <f t="shared" si="23"/>
        <v>1998</v>
      </c>
      <c r="BW58" s="1">
        <v>72.900000000000006</v>
      </c>
      <c r="BY58">
        <f t="shared" si="40"/>
        <v>71.2</v>
      </c>
      <c r="BZ58">
        <f t="shared" si="38"/>
        <v>1.4044943820224718</v>
      </c>
      <c r="CA58" t="s">
        <v>39</v>
      </c>
      <c r="CB58">
        <f t="shared" si="36"/>
        <v>1998</v>
      </c>
    </row>
    <row r="59" spans="1:80" x14ac:dyDescent="0.35">
      <c r="S59">
        <f t="shared" si="34"/>
        <v>2020</v>
      </c>
      <c r="T59" s="6">
        <v>44166</v>
      </c>
      <c r="Y59">
        <v>5524.05</v>
      </c>
      <c r="Z59">
        <f t="shared" si="42"/>
        <v>0.8285884424658233</v>
      </c>
      <c r="AA59">
        <f t="shared" si="35"/>
        <v>0.82172800457972173</v>
      </c>
      <c r="AB59" s="15">
        <f t="shared" si="37"/>
        <v>-0.17827199542027827</v>
      </c>
      <c r="AC59">
        <v>-9.8000000000000007</v>
      </c>
      <c r="AD59">
        <v>-10.56</v>
      </c>
      <c r="AE59">
        <v>16.5</v>
      </c>
      <c r="AF59">
        <v>15.08</v>
      </c>
      <c r="BQ59">
        <v>1999</v>
      </c>
      <c r="BR59">
        <v>69.8</v>
      </c>
      <c r="BS59" t="str">
        <f t="shared" si="26"/>
        <v/>
      </c>
      <c r="BT59" s="1">
        <f t="shared" si="27"/>
        <v>69.8</v>
      </c>
      <c r="BV59">
        <f t="shared" si="23"/>
        <v>1999</v>
      </c>
      <c r="BW59" s="1">
        <v>73.3</v>
      </c>
      <c r="BY59">
        <f t="shared" si="40"/>
        <v>72.099999999999994</v>
      </c>
      <c r="BZ59">
        <f t="shared" si="38"/>
        <v>1.3869625520110958</v>
      </c>
      <c r="CA59" t="s">
        <v>39</v>
      </c>
      <c r="CB59">
        <f t="shared" si="36"/>
        <v>1999</v>
      </c>
    </row>
    <row r="60" spans="1:80" x14ac:dyDescent="0.35">
      <c r="S60">
        <f t="shared" si="34"/>
        <v>2021</v>
      </c>
      <c r="T60" s="6">
        <v>44531</v>
      </c>
      <c r="Y60">
        <v>6747.87</v>
      </c>
      <c r="Z60">
        <f t="shared" si="42"/>
        <v>1.2215439758872566</v>
      </c>
      <c r="AA60">
        <f t="shared" si="35"/>
        <v>1.1898013456894696</v>
      </c>
      <c r="AB60" s="15">
        <f t="shared" si="37"/>
        <v>0.1898013456894696</v>
      </c>
      <c r="AC60">
        <v>18.3</v>
      </c>
      <c r="AD60">
        <v>15.39</v>
      </c>
      <c r="AE60">
        <v>22.35</v>
      </c>
      <c r="AF60">
        <v>16.86</v>
      </c>
      <c r="BQ60">
        <v>2000</v>
      </c>
      <c r="BR60">
        <v>72.400000000000006</v>
      </c>
      <c r="BS60" t="str">
        <f t="shared" si="26"/>
        <v/>
      </c>
      <c r="BT60" s="1">
        <f t="shared" si="27"/>
        <v>72.400000000000006</v>
      </c>
      <c r="BV60">
        <f t="shared" si="23"/>
        <v>2000</v>
      </c>
      <c r="BW60" s="1">
        <v>73.5</v>
      </c>
      <c r="BY60">
        <f t="shared" si="40"/>
        <v>72.7</v>
      </c>
      <c r="BZ60">
        <f t="shared" si="38"/>
        <v>1.3755158184319118</v>
      </c>
      <c r="CA60" t="s">
        <v>39</v>
      </c>
      <c r="CB60">
        <f t="shared" ref="CB60:CB81" si="43">BV60</f>
        <v>2000</v>
      </c>
    </row>
    <row r="61" spans="1:80" x14ac:dyDescent="0.35">
      <c r="S61">
        <f t="shared" si="34"/>
        <v>2022</v>
      </c>
      <c r="T61" s="6">
        <v>44896</v>
      </c>
      <c r="Y61">
        <v>7657.48</v>
      </c>
      <c r="Z61">
        <f t="shared" si="42"/>
        <v>1.1347995737914334</v>
      </c>
      <c r="AA61">
        <f t="shared" si="35"/>
        <v>1.0406214661883646</v>
      </c>
      <c r="AB61" s="15">
        <f t="shared" si="37"/>
        <v>4.0621466188364597E-2</v>
      </c>
      <c r="AC61">
        <v>0.3</v>
      </c>
      <c r="AD61">
        <v>-8.02</v>
      </c>
      <c r="AE61">
        <v>-17.73</v>
      </c>
      <c r="AF61">
        <v>-23.82</v>
      </c>
      <c r="BQ61">
        <v>2001</v>
      </c>
      <c r="BR61">
        <v>73.900000000000006</v>
      </c>
      <c r="BS61" t="str">
        <f t="shared" si="26"/>
        <v/>
      </c>
      <c r="BT61" s="1">
        <f t="shared" si="27"/>
        <v>73.900000000000006</v>
      </c>
      <c r="BV61">
        <f t="shared" si="23"/>
        <v>2001</v>
      </c>
      <c r="BW61" s="1">
        <v>73.900000000000006</v>
      </c>
      <c r="BY61">
        <f t="shared" si="40"/>
        <v>73.599999999999994</v>
      </c>
      <c r="BZ61">
        <f t="shared" si="38"/>
        <v>1.3586956521739131</v>
      </c>
      <c r="CA61" t="s">
        <v>39</v>
      </c>
      <c r="CB61">
        <f t="shared" si="43"/>
        <v>2001</v>
      </c>
    </row>
    <row r="62" spans="1:80" x14ac:dyDescent="0.35">
      <c r="S62">
        <f t="shared" si="34"/>
        <v>2023</v>
      </c>
      <c r="T62" s="6">
        <v>45261</v>
      </c>
      <c r="Y62">
        <v>8264.89</v>
      </c>
      <c r="Z62">
        <f t="shared" si="42"/>
        <v>1.0793224402806145</v>
      </c>
      <c r="AA62">
        <f t="shared" si="35"/>
        <v>1.0544221465496626</v>
      </c>
      <c r="AB62" s="15">
        <f t="shared" si="37"/>
        <v>5.4422146549662598E-2</v>
      </c>
      <c r="AC62">
        <v>7.9</v>
      </c>
      <c r="AD62">
        <v>0.51</v>
      </c>
      <c r="AE62">
        <v>24.42</v>
      </c>
      <c r="AF62">
        <v>19.5</v>
      </c>
      <c r="BQ62">
        <v>2002</v>
      </c>
      <c r="BR62">
        <v>75.5</v>
      </c>
      <c r="BS62" t="str">
        <f t="shared" si="26"/>
        <v/>
      </c>
      <c r="BT62" s="1">
        <f t="shared" si="27"/>
        <v>75.5</v>
      </c>
      <c r="BV62">
        <f t="shared" si="23"/>
        <v>2002</v>
      </c>
      <c r="BW62" s="1">
        <v>74.2</v>
      </c>
      <c r="BY62">
        <f t="shared" si="40"/>
        <v>74.5</v>
      </c>
      <c r="BZ62">
        <f t="shared" si="38"/>
        <v>1.3422818791946309</v>
      </c>
      <c r="CA62" t="s">
        <v>39</v>
      </c>
      <c r="CB62">
        <f t="shared" si="43"/>
        <v>2002</v>
      </c>
    </row>
    <row r="63" spans="1:80" x14ac:dyDescent="0.35">
      <c r="S63">
        <f t="shared" si="34"/>
        <v>2024</v>
      </c>
      <c r="T63" s="6">
        <v>45627</v>
      </c>
      <c r="Y63">
        <v>9063.0400000000009</v>
      </c>
      <c r="Z63">
        <f t="shared" si="42"/>
        <v>1.0965711582368309</v>
      </c>
      <c r="AA63">
        <f t="shared" si="35"/>
        <v>1.0787610930249916</v>
      </c>
      <c r="AB63" s="15">
        <f t="shared" si="37"/>
        <v>7.8761093024991569E-2</v>
      </c>
      <c r="AC63">
        <v>11.1</v>
      </c>
      <c r="AD63">
        <v>8.39</v>
      </c>
      <c r="AE63">
        <v>19.190000000000001</v>
      </c>
      <c r="AF63">
        <v>15.8</v>
      </c>
      <c r="BQ63">
        <v>2003</v>
      </c>
      <c r="BR63">
        <v>77.7</v>
      </c>
      <c r="BS63" t="str">
        <f t="shared" si="26"/>
        <v/>
      </c>
      <c r="BT63" s="1">
        <f t="shared" si="27"/>
        <v>77.7</v>
      </c>
      <c r="BV63">
        <f t="shared" si="23"/>
        <v>2003</v>
      </c>
      <c r="BW63" s="1">
        <v>75.099999999999994</v>
      </c>
      <c r="BY63">
        <f t="shared" si="40"/>
        <v>75.5</v>
      </c>
      <c r="BZ63">
        <f t="shared" si="38"/>
        <v>1.3245033112582782</v>
      </c>
      <c r="CA63" t="s">
        <v>39</v>
      </c>
      <c r="CB63">
        <f t="shared" si="43"/>
        <v>2003</v>
      </c>
    </row>
    <row r="64" spans="1:80" x14ac:dyDescent="0.35">
      <c r="S64">
        <f t="shared" si="34"/>
        <v>2025</v>
      </c>
      <c r="T64" s="6">
        <v>45992</v>
      </c>
      <c r="Y64">
        <v>11403.26</v>
      </c>
      <c r="Z64">
        <f t="shared" si="42"/>
        <v>1.2582157863145258</v>
      </c>
      <c r="AA64">
        <f t="shared" si="35"/>
        <v>1.2339863399564379</v>
      </c>
      <c r="AB64" s="15">
        <f t="shared" si="37"/>
        <v>0.23398633995643792</v>
      </c>
      <c r="AC64">
        <v>11.5</v>
      </c>
      <c r="AD64">
        <v>8.4600000000000009</v>
      </c>
      <c r="AE64">
        <v>21.6</v>
      </c>
      <c r="AF64">
        <v>18.29</v>
      </c>
      <c r="BQ64">
        <v>2004</v>
      </c>
      <c r="BR64">
        <v>79.599999999999994</v>
      </c>
      <c r="BS64" t="str">
        <f t="shared" si="26"/>
        <v/>
      </c>
      <c r="BT64" s="1">
        <f t="shared" si="27"/>
        <v>79.599999999999994</v>
      </c>
      <c r="BV64">
        <f t="shared" si="23"/>
        <v>2004</v>
      </c>
      <c r="BW64" s="1">
        <v>76.400000000000006</v>
      </c>
      <c r="BY64">
        <f t="shared" si="40"/>
        <v>76.5</v>
      </c>
      <c r="BZ64">
        <f t="shared" si="38"/>
        <v>1.3071895424836601</v>
      </c>
      <c r="CA64" t="s">
        <v>39</v>
      </c>
      <c r="CB64">
        <f t="shared" si="43"/>
        <v>2004</v>
      </c>
    </row>
    <row r="65" spans="69:80" x14ac:dyDescent="0.35">
      <c r="BQ65">
        <v>2005</v>
      </c>
      <c r="BR65">
        <v>81.599999999999994</v>
      </c>
      <c r="BS65" t="str">
        <f t="shared" si="26"/>
        <v/>
      </c>
      <c r="BT65" s="1">
        <f t="shared" si="27"/>
        <v>81.599999999999994</v>
      </c>
      <c r="BV65">
        <f t="shared" si="23"/>
        <v>2005</v>
      </c>
      <c r="BW65" s="1">
        <v>77.8</v>
      </c>
      <c r="BY65">
        <f t="shared" si="40"/>
        <v>78.099999999999994</v>
      </c>
      <c r="BZ65">
        <f t="shared" si="38"/>
        <v>1.2804097311139566</v>
      </c>
      <c r="CA65" t="s">
        <v>39</v>
      </c>
      <c r="CB65">
        <f t="shared" si="43"/>
        <v>2005</v>
      </c>
    </row>
    <row r="66" spans="69:80" x14ac:dyDescent="0.35">
      <c r="BQ66">
        <v>2006</v>
      </c>
      <c r="BR66">
        <v>83.7</v>
      </c>
      <c r="BS66" t="str">
        <f t="shared" si="26"/>
        <v/>
      </c>
      <c r="BT66" s="1">
        <f t="shared" si="27"/>
        <v>83.7</v>
      </c>
      <c r="BV66">
        <f t="shared" si="23"/>
        <v>2006</v>
      </c>
      <c r="BW66" s="1">
        <v>80.099999999999994</v>
      </c>
      <c r="BY66">
        <f t="shared" si="40"/>
        <v>79.900000000000006</v>
      </c>
      <c r="BZ66">
        <f t="shared" si="38"/>
        <v>1.2515644555694618</v>
      </c>
      <c r="CA66" t="s">
        <v>39</v>
      </c>
      <c r="CB66">
        <f t="shared" si="43"/>
        <v>2006</v>
      </c>
    </row>
    <row r="67" spans="69:80" x14ac:dyDescent="0.35">
      <c r="BQ67">
        <v>2007</v>
      </c>
      <c r="BR67">
        <v>85.7</v>
      </c>
      <c r="BS67" t="str">
        <f t="shared" si="26"/>
        <v/>
      </c>
      <c r="BT67" s="1">
        <f t="shared" si="27"/>
        <v>85.7</v>
      </c>
      <c r="BV67">
        <f t="shared" si="23"/>
        <v>2007</v>
      </c>
      <c r="BW67" s="1">
        <v>81.400000000000006</v>
      </c>
      <c r="BY67">
        <f t="shared" si="40"/>
        <v>81.8</v>
      </c>
      <c r="BZ67">
        <f t="shared" si="38"/>
        <v>1.2224938875305624</v>
      </c>
      <c r="CA67" t="s">
        <v>39</v>
      </c>
      <c r="CB67">
        <f t="shared" si="43"/>
        <v>2007</v>
      </c>
    </row>
    <row r="68" spans="69:80" x14ac:dyDescent="0.35">
      <c r="BQ68">
        <v>2008</v>
      </c>
      <c r="BR68">
        <v>85.4</v>
      </c>
      <c r="BS68" t="str">
        <f t="shared" si="26"/>
        <v/>
      </c>
      <c r="BT68" s="1">
        <f t="shared" si="27"/>
        <v>85.4</v>
      </c>
      <c r="BV68">
        <f t="shared" si="23"/>
        <v>2008</v>
      </c>
      <c r="BW68" s="1">
        <v>84.6</v>
      </c>
      <c r="BY68">
        <f t="shared" si="40"/>
        <v>84.7</v>
      </c>
      <c r="BZ68">
        <f t="shared" si="38"/>
        <v>1.1806375442739079</v>
      </c>
      <c r="CA68" t="s">
        <v>39</v>
      </c>
      <c r="CB68">
        <f t="shared" si="43"/>
        <v>2008</v>
      </c>
    </row>
    <row r="69" spans="69:80" x14ac:dyDescent="0.35">
      <c r="BQ69">
        <v>2009</v>
      </c>
      <c r="BR69">
        <v>81.8</v>
      </c>
      <c r="BS69" t="str">
        <f t="shared" si="26"/>
        <v/>
      </c>
      <c r="BT69" s="1">
        <f t="shared" si="27"/>
        <v>81.8</v>
      </c>
      <c r="BV69">
        <f t="shared" si="23"/>
        <v>2009</v>
      </c>
      <c r="BW69" s="1">
        <v>85.4</v>
      </c>
      <c r="BY69">
        <f t="shared" si="40"/>
        <v>86.6</v>
      </c>
      <c r="BZ69">
        <f t="shared" si="38"/>
        <v>1.1547344110854505</v>
      </c>
      <c r="CA69" t="s">
        <v>39</v>
      </c>
      <c r="CB69">
        <f t="shared" si="43"/>
        <v>2009</v>
      </c>
    </row>
    <row r="70" spans="69:80" x14ac:dyDescent="0.35">
      <c r="BQ70">
        <v>2010</v>
      </c>
      <c r="BR70">
        <v>83.6</v>
      </c>
      <c r="BS70" t="str">
        <f t="shared" si="26"/>
        <v/>
      </c>
      <c r="BT70" s="1">
        <f t="shared" si="27"/>
        <v>83.6</v>
      </c>
      <c r="BV70">
        <f t="shared" si="23"/>
        <v>2010</v>
      </c>
      <c r="BW70" s="1">
        <v>86.3</v>
      </c>
      <c r="BY70">
        <f t="shared" si="40"/>
        <v>89.4</v>
      </c>
      <c r="BZ70">
        <f t="shared" si="38"/>
        <v>1.1185682326621924</v>
      </c>
      <c r="CA70" t="s">
        <v>39</v>
      </c>
      <c r="CB70">
        <f t="shared" si="43"/>
        <v>2010</v>
      </c>
    </row>
    <row r="71" spans="69:80" x14ac:dyDescent="0.35">
      <c r="BQ71">
        <v>2011</v>
      </c>
      <c r="BR71">
        <v>84.8</v>
      </c>
      <c r="BS71" t="str">
        <f t="shared" si="26"/>
        <v/>
      </c>
      <c r="BT71" s="1">
        <f t="shared" si="27"/>
        <v>84.8</v>
      </c>
      <c r="BV71">
        <f t="shared" si="23"/>
        <v>2011</v>
      </c>
      <c r="BW71" s="1">
        <v>89.8</v>
      </c>
      <c r="BY71">
        <f t="shared" si="40"/>
        <v>93.4</v>
      </c>
      <c r="BZ71">
        <f t="shared" si="38"/>
        <v>1.070663811563169</v>
      </c>
      <c r="CA71" t="s">
        <v>39</v>
      </c>
      <c r="CB71">
        <f t="shared" si="43"/>
        <v>2011</v>
      </c>
    </row>
    <row r="72" spans="69:80" x14ac:dyDescent="0.35">
      <c r="BQ72">
        <v>2012</v>
      </c>
      <c r="BR72">
        <v>86</v>
      </c>
      <c r="BS72" t="str">
        <f t="shared" si="26"/>
        <v/>
      </c>
      <c r="BT72" s="1">
        <f t="shared" si="27"/>
        <v>86</v>
      </c>
      <c r="BV72">
        <f t="shared" si="23"/>
        <v>2012</v>
      </c>
      <c r="BW72" s="1">
        <v>91.4</v>
      </c>
      <c r="BY72">
        <f t="shared" si="40"/>
        <v>96.1</v>
      </c>
      <c r="BZ72">
        <f t="shared" si="38"/>
        <v>1.0405827263267431</v>
      </c>
      <c r="CA72" t="s">
        <v>39</v>
      </c>
      <c r="CB72">
        <f t="shared" si="43"/>
        <v>2012</v>
      </c>
    </row>
    <row r="73" spans="69:80" x14ac:dyDescent="0.35">
      <c r="BQ73">
        <v>2013</v>
      </c>
      <c r="BR73">
        <v>87.6</v>
      </c>
      <c r="BS73" t="str">
        <f t="shared" si="26"/>
        <v/>
      </c>
      <c r="BT73" s="1">
        <f t="shared" ref="BT73:BT120" si="44">MAX(BR73:BS73)</f>
        <v>87.6</v>
      </c>
      <c r="BV73">
        <f t="shared" si="23"/>
        <v>2013</v>
      </c>
      <c r="BW73" s="1">
        <v>93.3</v>
      </c>
      <c r="BY73">
        <f t="shared" ref="BY73:BY81" si="45">IF(BV73&lt;$B$4,BY74*BW73/BW74,IF(BV73&gt;$B$5,BY72*BW73/BW72,VLOOKUP(BV73,$A$15:$D$119,4,FALSE)))</f>
        <v>98.5</v>
      </c>
      <c r="BZ73">
        <f t="shared" si="38"/>
        <v>1.015228426395939</v>
      </c>
      <c r="CA73" t="s">
        <v>39</v>
      </c>
      <c r="CB73">
        <f t="shared" si="43"/>
        <v>2013</v>
      </c>
    </row>
    <row r="74" spans="69:80" x14ac:dyDescent="0.35">
      <c r="BQ74">
        <v>2014</v>
      </c>
      <c r="BR74">
        <v>90.3</v>
      </c>
      <c r="BS74" t="str">
        <f t="shared" si="26"/>
        <v/>
      </c>
      <c r="BT74" s="1">
        <f t="shared" si="44"/>
        <v>90.3</v>
      </c>
      <c r="BV74">
        <f t="shared" ref="BV74:BV81" si="46">BV73+1</f>
        <v>2014</v>
      </c>
      <c r="BW74" s="1">
        <v>94.2</v>
      </c>
      <c r="BY74">
        <f t="shared" si="45"/>
        <v>100</v>
      </c>
      <c r="BZ74">
        <f t="shared" si="38"/>
        <v>1</v>
      </c>
      <c r="CA74" t="s">
        <v>39</v>
      </c>
      <c r="CB74">
        <f t="shared" si="43"/>
        <v>2014</v>
      </c>
    </row>
    <row r="75" spans="69:80" x14ac:dyDescent="0.35">
      <c r="BQ75">
        <v>2015</v>
      </c>
      <c r="BR75">
        <v>92.6</v>
      </c>
      <c r="BS75" t="str">
        <f t="shared" si="26"/>
        <v/>
      </c>
      <c r="BT75" s="1">
        <f t="shared" si="44"/>
        <v>92.6</v>
      </c>
      <c r="BV75">
        <f t="shared" si="46"/>
        <v>2015</v>
      </c>
      <c r="BW75" s="1">
        <v>93.9</v>
      </c>
      <c r="BY75">
        <f t="shared" si="45"/>
        <v>100</v>
      </c>
      <c r="BZ75">
        <f t="shared" si="38"/>
        <v>1</v>
      </c>
      <c r="CA75" t="s">
        <v>39</v>
      </c>
      <c r="CB75">
        <f t="shared" si="43"/>
        <v>2015</v>
      </c>
    </row>
    <row r="76" spans="69:80" x14ac:dyDescent="0.35">
      <c r="BQ76">
        <v>2016</v>
      </c>
      <c r="BR76">
        <v>94.7</v>
      </c>
      <c r="BS76" t="str">
        <f t="shared" ref="BS76:BS120" si="47">IF(AND(BR77="",NOT(BR76="")),BR76,IF(BR76="",IF(BR75="",BS75*BS75/BS74,(BR75/$BR$8)^(1/(BQ75-$BQ$8))*BS75),""))</f>
        <v/>
      </c>
      <c r="BT76" s="1">
        <f t="shared" si="44"/>
        <v>94.7</v>
      </c>
      <c r="BV76">
        <f t="shared" si="46"/>
        <v>2016</v>
      </c>
      <c r="BW76" s="1">
        <v>95</v>
      </c>
      <c r="BY76">
        <f t="shared" si="45"/>
        <v>100.7</v>
      </c>
      <c r="BZ76">
        <f t="shared" si="38"/>
        <v>0.99304865938430975</v>
      </c>
      <c r="CA76" t="s">
        <v>39</v>
      </c>
      <c r="CB76">
        <f t="shared" si="43"/>
        <v>2016</v>
      </c>
    </row>
    <row r="77" spans="69:80" x14ac:dyDescent="0.35">
      <c r="BQ77">
        <v>2017</v>
      </c>
      <c r="BR77">
        <v>96.8</v>
      </c>
      <c r="BS77" t="str">
        <f t="shared" si="47"/>
        <v/>
      </c>
      <c r="BT77" s="1">
        <f t="shared" si="44"/>
        <v>96.8</v>
      </c>
      <c r="BV77">
        <f t="shared" si="46"/>
        <v>2017</v>
      </c>
      <c r="BW77" s="1">
        <v>96.7</v>
      </c>
      <c r="BY77">
        <f t="shared" si="45"/>
        <v>103.4</v>
      </c>
      <c r="BZ77">
        <f t="shared" si="38"/>
        <v>0.96711798839458407</v>
      </c>
      <c r="CA77" t="s">
        <v>39</v>
      </c>
      <c r="CB77">
        <f t="shared" si="43"/>
        <v>2017</v>
      </c>
    </row>
    <row r="78" spans="69:80" x14ac:dyDescent="0.35">
      <c r="BQ78">
        <v>2018</v>
      </c>
      <c r="BR78">
        <v>98.4</v>
      </c>
      <c r="BS78" t="str">
        <f t="shared" si="47"/>
        <v/>
      </c>
      <c r="BT78" s="1">
        <f t="shared" si="44"/>
        <v>98.4</v>
      </c>
      <c r="BV78">
        <f t="shared" si="46"/>
        <v>2018</v>
      </c>
      <c r="BW78" s="1">
        <v>98.4</v>
      </c>
      <c r="BY78">
        <f t="shared" si="45"/>
        <v>105.9</v>
      </c>
      <c r="BZ78">
        <f t="shared" si="38"/>
        <v>0.94428706326723322</v>
      </c>
      <c r="CA78" t="s">
        <v>39</v>
      </c>
      <c r="CB78">
        <f t="shared" si="43"/>
        <v>2018</v>
      </c>
    </row>
    <row r="79" spans="69:80" x14ac:dyDescent="0.35">
      <c r="BQ79">
        <v>2019</v>
      </c>
      <c r="BR79">
        <v>100</v>
      </c>
      <c r="BS79" t="str">
        <f t="shared" si="47"/>
        <v/>
      </c>
      <c r="BT79" s="1">
        <f t="shared" si="44"/>
        <v>100</v>
      </c>
      <c r="BV79">
        <f t="shared" si="46"/>
        <v>2019</v>
      </c>
      <c r="BW79" s="1">
        <v>100</v>
      </c>
      <c r="BY79">
        <f t="shared" si="45"/>
        <v>107.8</v>
      </c>
      <c r="BZ79">
        <f t="shared" si="38"/>
        <v>0.927643784786642</v>
      </c>
      <c r="CA79" t="s">
        <v>39</v>
      </c>
      <c r="CB79">
        <f t="shared" si="43"/>
        <v>2019</v>
      </c>
    </row>
    <row r="80" spans="69:80" x14ac:dyDescent="0.35">
      <c r="BQ80">
        <v>2020</v>
      </c>
      <c r="BR80">
        <v>90.6</v>
      </c>
      <c r="BS80" t="str">
        <f t="shared" si="47"/>
        <v/>
      </c>
      <c r="BT80" s="1">
        <f t="shared" si="44"/>
        <v>90.6</v>
      </c>
      <c r="BV80">
        <f t="shared" si="46"/>
        <v>2020</v>
      </c>
      <c r="BW80" s="1">
        <v>100.5</v>
      </c>
      <c r="BY80">
        <f t="shared" si="45"/>
        <v>108.7</v>
      </c>
      <c r="BZ80">
        <f t="shared" si="38"/>
        <v>0.91996320147194111</v>
      </c>
      <c r="CA80" t="s">
        <v>39</v>
      </c>
      <c r="CB80">
        <f t="shared" si="43"/>
        <v>2020</v>
      </c>
    </row>
    <row r="81" spans="69:80" x14ac:dyDescent="0.35">
      <c r="BQ81">
        <v>2021</v>
      </c>
      <c r="BR81">
        <v>97.4</v>
      </c>
      <c r="BS81" s="1">
        <f t="shared" si="47"/>
        <v>97.4</v>
      </c>
      <c r="BT81" s="1">
        <f t="shared" si="44"/>
        <v>97.4</v>
      </c>
      <c r="BV81">
        <f t="shared" si="46"/>
        <v>2021</v>
      </c>
      <c r="BW81" s="1">
        <v>103.4</v>
      </c>
      <c r="BY81">
        <f t="shared" si="45"/>
        <v>111.6</v>
      </c>
      <c r="BZ81">
        <f t="shared" si="38"/>
        <v>0.89605734767025091</v>
      </c>
      <c r="CA81" t="s">
        <v>39</v>
      </c>
      <c r="CB81">
        <f t="shared" si="43"/>
        <v>2021</v>
      </c>
    </row>
    <row r="82" spans="69:80" x14ac:dyDescent="0.35">
      <c r="BQ82">
        <f>BQ81+1</f>
        <v>2022</v>
      </c>
      <c r="BS82" s="1">
        <f t="shared" si="47"/>
        <v>99.757148331179067</v>
      </c>
      <c r="BT82" s="1">
        <f t="shared" si="44"/>
        <v>99.757148331179067</v>
      </c>
    </row>
    <row r="83" spans="69:80" x14ac:dyDescent="0.35">
      <c r="BQ83">
        <f t="shared" ref="BQ83:BQ120" si="48">BQ82+1</f>
        <v>2023</v>
      </c>
      <c r="BS83" s="1">
        <f t="shared" si="47"/>
        <v>102.17134130563514</v>
      </c>
      <c r="BT83" s="1">
        <f t="shared" si="44"/>
        <v>102.17134130563514</v>
      </c>
    </row>
    <row r="84" spans="69:80" x14ac:dyDescent="0.35">
      <c r="BQ84">
        <f t="shared" si="48"/>
        <v>2024</v>
      </c>
      <c r="BS84" s="1">
        <f t="shared" si="47"/>
        <v>104.64395944375532</v>
      </c>
      <c r="BT84" s="1">
        <f t="shared" si="44"/>
        <v>104.64395944375532</v>
      </c>
    </row>
    <row r="85" spans="69:80" x14ac:dyDescent="0.35">
      <c r="BQ85">
        <f t="shared" si="48"/>
        <v>2025</v>
      </c>
      <c r="BS85" s="1">
        <f t="shared" si="47"/>
        <v>107.17641667548857</v>
      </c>
      <c r="BT85" s="1">
        <f t="shared" si="44"/>
        <v>107.17641667548857</v>
      </c>
    </row>
    <row r="86" spans="69:80" x14ac:dyDescent="0.35">
      <c r="BQ86">
        <f t="shared" si="48"/>
        <v>2026</v>
      </c>
      <c r="BS86" s="1">
        <f t="shared" si="47"/>
        <v>109.77016114888056</v>
      </c>
      <c r="BT86" s="1">
        <f t="shared" si="44"/>
        <v>109.77016114888056</v>
      </c>
    </row>
    <row r="87" spans="69:80" x14ac:dyDescent="0.35">
      <c r="BQ87">
        <f t="shared" si="48"/>
        <v>2027</v>
      </c>
      <c r="BS87" s="1">
        <f t="shared" si="47"/>
        <v>112.42667605817564</v>
      </c>
      <c r="BT87" s="1">
        <f t="shared" si="44"/>
        <v>112.42667605817564</v>
      </c>
    </row>
    <row r="88" spans="69:80" x14ac:dyDescent="0.35">
      <c r="BQ88">
        <f t="shared" si="48"/>
        <v>2028</v>
      </c>
      <c r="BS88" s="1">
        <f t="shared" si="47"/>
        <v>115.1474804919594</v>
      </c>
      <c r="BT88" s="1">
        <f t="shared" si="44"/>
        <v>115.1474804919594</v>
      </c>
    </row>
    <row r="89" spans="69:80" x14ac:dyDescent="0.35">
      <c r="BQ89">
        <f t="shared" si="48"/>
        <v>2029</v>
      </c>
      <c r="BS89" s="1">
        <f t="shared" si="47"/>
        <v>117.9341303018269</v>
      </c>
      <c r="BT89" s="1">
        <f t="shared" si="44"/>
        <v>117.9341303018269</v>
      </c>
    </row>
    <row r="90" spans="69:80" x14ac:dyDescent="0.35">
      <c r="BQ90">
        <f t="shared" si="48"/>
        <v>2030</v>
      </c>
      <c r="BS90" s="1">
        <f t="shared" si="47"/>
        <v>120.78821899207334</v>
      </c>
      <c r="BT90" s="1">
        <f t="shared" si="44"/>
        <v>120.78821899207334</v>
      </c>
    </row>
    <row r="91" spans="69:80" x14ac:dyDescent="0.35">
      <c r="BQ91">
        <f t="shared" si="48"/>
        <v>2031</v>
      </c>
      <c r="BS91" s="1">
        <f t="shared" si="47"/>
        <v>123.7113786309158</v>
      </c>
      <c r="BT91" s="1">
        <f t="shared" si="44"/>
        <v>123.7113786309158</v>
      </c>
    </row>
    <row r="92" spans="69:80" x14ac:dyDescent="0.35">
      <c r="BQ92">
        <f t="shared" si="48"/>
        <v>2032</v>
      </c>
      <c r="BS92" s="1">
        <f t="shared" si="47"/>
        <v>126.70528078376718</v>
      </c>
      <c r="BT92" s="1">
        <f t="shared" si="44"/>
        <v>126.70528078376718</v>
      </c>
    </row>
    <row r="93" spans="69:80" x14ac:dyDescent="0.35">
      <c r="BQ93">
        <f t="shared" si="48"/>
        <v>2033</v>
      </c>
      <c r="BS93" s="1">
        <f t="shared" si="47"/>
        <v>129.77163746909605</v>
      </c>
      <c r="BT93" s="1">
        <f t="shared" si="44"/>
        <v>129.77163746909605</v>
      </c>
    </row>
    <row r="94" spans="69:80" x14ac:dyDescent="0.35">
      <c r="BQ94">
        <f t="shared" si="48"/>
        <v>2034</v>
      </c>
      <c r="BS94" s="1">
        <f t="shared" si="47"/>
        <v>132.912202137419</v>
      </c>
      <c r="BT94" s="1">
        <f t="shared" si="44"/>
        <v>132.912202137419</v>
      </c>
    </row>
    <row r="95" spans="69:80" x14ac:dyDescent="0.35">
      <c r="BQ95">
        <f t="shared" si="48"/>
        <v>2035</v>
      </c>
      <c r="BS95" s="1">
        <f t="shared" si="47"/>
        <v>136.12877067398526</v>
      </c>
      <c r="BT95" s="1">
        <f t="shared" si="44"/>
        <v>136.12877067398526</v>
      </c>
    </row>
    <row r="96" spans="69:80" x14ac:dyDescent="0.35">
      <c r="BQ96">
        <f t="shared" si="48"/>
        <v>2036</v>
      </c>
      <c r="BS96" s="1">
        <f t="shared" si="47"/>
        <v>139.42318242572699</v>
      </c>
      <c r="BT96" s="1">
        <f t="shared" si="44"/>
        <v>139.42318242572699</v>
      </c>
    </row>
    <row r="97" spans="69:72" x14ac:dyDescent="0.35">
      <c r="BQ97">
        <f t="shared" si="48"/>
        <v>2037</v>
      </c>
      <c r="BS97" s="1">
        <f t="shared" si="47"/>
        <v>142.79732125306251</v>
      </c>
      <c r="BT97" s="1">
        <f t="shared" si="44"/>
        <v>142.79732125306251</v>
      </c>
    </row>
    <row r="98" spans="69:72" x14ac:dyDescent="0.35">
      <c r="BQ98">
        <f t="shared" si="48"/>
        <v>2038</v>
      </c>
      <c r="BS98" s="1">
        <f t="shared" si="47"/>
        <v>146.25311660715386</v>
      </c>
      <c r="BT98" s="1">
        <f t="shared" si="44"/>
        <v>146.25311660715386</v>
      </c>
    </row>
    <row r="99" spans="69:72" x14ac:dyDescent="0.35">
      <c r="BQ99">
        <f t="shared" si="48"/>
        <v>2039</v>
      </c>
      <c r="BS99" s="1">
        <f t="shared" si="47"/>
        <v>149.79254463323488</v>
      </c>
      <c r="BT99" s="1">
        <f t="shared" si="44"/>
        <v>149.79254463323488</v>
      </c>
    </row>
    <row r="100" spans="69:72" x14ac:dyDescent="0.35">
      <c r="BQ100">
        <f t="shared" si="48"/>
        <v>2040</v>
      </c>
      <c r="BS100" s="1">
        <f t="shared" si="47"/>
        <v>153.41762930064039</v>
      </c>
      <c r="BT100" s="1">
        <f t="shared" si="44"/>
        <v>153.41762930064039</v>
      </c>
    </row>
    <row r="101" spans="69:72" x14ac:dyDescent="0.35">
      <c r="BQ101">
        <f t="shared" si="48"/>
        <v>2041</v>
      </c>
      <c r="BS101" s="1">
        <f t="shared" si="47"/>
        <v>157.13044356018301</v>
      </c>
      <c r="BT101" s="1">
        <f t="shared" si="44"/>
        <v>157.13044356018301</v>
      </c>
    </row>
    <row r="102" spans="69:72" x14ac:dyDescent="0.35">
      <c r="BQ102">
        <f t="shared" si="48"/>
        <v>2042</v>
      </c>
      <c r="BS102" s="1">
        <f t="shared" si="47"/>
        <v>160.93311052953939</v>
      </c>
      <c r="BT102" s="1">
        <f t="shared" si="44"/>
        <v>160.93311052953939</v>
      </c>
    </row>
    <row r="103" spans="69:72" x14ac:dyDescent="0.35">
      <c r="BQ103">
        <f t="shared" si="48"/>
        <v>2043</v>
      </c>
      <c r="BS103" s="1">
        <f t="shared" si="47"/>
        <v>164.82780470732337</v>
      </c>
      <c r="BT103" s="1">
        <f t="shared" si="44"/>
        <v>164.82780470732337</v>
      </c>
    </row>
    <row r="104" spans="69:72" x14ac:dyDescent="0.35">
      <c r="BQ104">
        <f t="shared" si="48"/>
        <v>2044</v>
      </c>
      <c r="BS104" s="1">
        <f t="shared" si="47"/>
        <v>168.81675321654077</v>
      </c>
      <c r="BT104" s="1">
        <f t="shared" si="44"/>
        <v>168.81675321654077</v>
      </c>
    </row>
    <row r="105" spans="69:72" x14ac:dyDescent="0.35">
      <c r="BQ105">
        <f t="shared" si="48"/>
        <v>2045</v>
      </c>
      <c r="BS105" s="1">
        <f t="shared" si="47"/>
        <v>172.90223707813664</v>
      </c>
      <c r="BT105" s="1">
        <f t="shared" si="44"/>
        <v>172.90223707813664</v>
      </c>
    </row>
    <row r="106" spans="69:72" x14ac:dyDescent="0.35">
      <c r="BQ106">
        <f t="shared" si="48"/>
        <v>2046</v>
      </c>
      <c r="BS106" s="1">
        <f t="shared" si="47"/>
        <v>177.08659251536309</v>
      </c>
      <c r="BT106" s="1">
        <f t="shared" si="44"/>
        <v>177.08659251536309</v>
      </c>
    </row>
    <row r="107" spans="69:72" x14ac:dyDescent="0.35">
      <c r="BQ107">
        <f t="shared" si="48"/>
        <v>2047</v>
      </c>
      <c r="BS107" s="1">
        <f t="shared" si="47"/>
        <v>181.37221228971399</v>
      </c>
      <c r="BT107" s="1">
        <f t="shared" si="44"/>
        <v>181.37221228971399</v>
      </c>
    </row>
    <row r="108" spans="69:72" x14ac:dyDescent="0.35">
      <c r="BQ108">
        <f t="shared" si="48"/>
        <v>2048</v>
      </c>
      <c r="BS108" s="1">
        <f t="shared" si="47"/>
        <v>185.76154706918993</v>
      </c>
      <c r="BT108" s="1">
        <f t="shared" si="44"/>
        <v>185.76154706918993</v>
      </c>
    </row>
    <row r="109" spans="69:72" x14ac:dyDescent="0.35">
      <c r="BQ109">
        <f t="shared" si="48"/>
        <v>2049</v>
      </c>
      <c r="BS109" s="1">
        <f t="shared" si="47"/>
        <v>190.25710682967642</v>
      </c>
      <c r="BT109" s="1">
        <f t="shared" si="44"/>
        <v>190.25710682967642</v>
      </c>
    </row>
    <row r="110" spans="69:72" x14ac:dyDescent="0.35">
      <c r="BQ110">
        <f t="shared" si="48"/>
        <v>2050</v>
      </c>
      <c r="BS110" s="1">
        <f t="shared" si="47"/>
        <v>194.86146229023626</v>
      </c>
      <c r="BT110" s="1">
        <f t="shared" si="44"/>
        <v>194.86146229023626</v>
      </c>
    </row>
    <row r="111" spans="69:72" x14ac:dyDescent="0.35">
      <c r="BQ111">
        <f t="shared" si="48"/>
        <v>2051</v>
      </c>
      <c r="BS111" s="1">
        <f t="shared" si="47"/>
        <v>199.57724638313712</v>
      </c>
      <c r="BT111" s="1">
        <f t="shared" si="44"/>
        <v>199.57724638313712</v>
      </c>
    </row>
    <row r="112" spans="69:72" x14ac:dyDescent="0.35">
      <c r="BQ112">
        <f t="shared" si="48"/>
        <v>2052</v>
      </c>
      <c r="BS112" s="1">
        <f t="shared" si="47"/>
        <v>204.40715575945461</v>
      </c>
      <c r="BT112" s="1">
        <f t="shared" si="44"/>
        <v>204.40715575945461</v>
      </c>
    </row>
    <row r="113" spans="69:72" x14ac:dyDescent="0.35">
      <c r="BQ113">
        <f t="shared" si="48"/>
        <v>2053</v>
      </c>
      <c r="BS113" s="1">
        <f t="shared" si="47"/>
        <v>209.35395233111228</v>
      </c>
      <c r="BT113" s="1">
        <f t="shared" si="44"/>
        <v>209.35395233111228</v>
      </c>
    </row>
    <row r="114" spans="69:72" x14ac:dyDescent="0.35">
      <c r="BQ114">
        <f t="shared" si="48"/>
        <v>2054</v>
      </c>
      <c r="BS114" s="1">
        <f t="shared" si="47"/>
        <v>214.42046485023982</v>
      </c>
      <c r="BT114" s="1">
        <f t="shared" si="44"/>
        <v>214.42046485023982</v>
      </c>
    </row>
    <row r="115" spans="69:72" x14ac:dyDescent="0.35">
      <c r="BQ115">
        <f t="shared" si="48"/>
        <v>2055</v>
      </c>
      <c r="BS115" s="1">
        <f t="shared" si="47"/>
        <v>219.60959052675298</v>
      </c>
      <c r="BT115" s="1">
        <f t="shared" si="44"/>
        <v>219.60959052675298</v>
      </c>
    </row>
    <row r="116" spans="69:72" x14ac:dyDescent="0.35">
      <c r="BQ116">
        <f t="shared" si="48"/>
        <v>2056</v>
      </c>
      <c r="BS116" s="1">
        <f t="shared" si="47"/>
        <v>224.92429668508001</v>
      </c>
      <c r="BT116" s="1">
        <f t="shared" si="44"/>
        <v>224.92429668508001</v>
      </c>
    </row>
    <row r="117" spans="69:72" x14ac:dyDescent="0.35">
      <c r="BQ117">
        <f t="shared" si="48"/>
        <v>2057</v>
      </c>
      <c r="BS117" s="1">
        <f t="shared" si="47"/>
        <v>230.36762246098209</v>
      </c>
      <c r="BT117" s="1">
        <f t="shared" si="44"/>
        <v>230.36762246098209</v>
      </c>
    </row>
    <row r="118" spans="69:72" x14ac:dyDescent="0.35">
      <c r="BQ118">
        <f t="shared" si="48"/>
        <v>2058</v>
      </c>
      <c r="BS118" s="1">
        <f t="shared" si="47"/>
        <v>235.9426805394379</v>
      </c>
      <c r="BT118" s="1">
        <f t="shared" si="44"/>
        <v>235.9426805394379</v>
      </c>
    </row>
    <row r="119" spans="69:72" x14ac:dyDescent="0.35">
      <c r="BQ119">
        <f t="shared" si="48"/>
        <v>2059</v>
      </c>
      <c r="BS119" s="1">
        <f t="shared" si="47"/>
        <v>241.65265893458633</v>
      </c>
      <c r="BT119" s="1">
        <f t="shared" si="44"/>
        <v>241.65265893458633</v>
      </c>
    </row>
    <row r="120" spans="69:72" x14ac:dyDescent="0.35">
      <c r="BQ120">
        <f t="shared" si="48"/>
        <v>2060</v>
      </c>
      <c r="BS120" s="1">
        <f t="shared" si="47"/>
        <v>247.50082281274493</v>
      </c>
      <c r="BT120" s="1">
        <f t="shared" si="44"/>
        <v>247.50082281274493</v>
      </c>
    </row>
  </sheetData>
  <hyperlinks>
    <hyperlink ref="Y3" r:id="rId1" xr:uid="{0366AA99-1B7E-49DE-B80F-82B72FF894A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Info</vt:lpstr>
      <vt:lpstr>gdp</vt:lpstr>
      <vt:lpstr>inflation</vt:lpstr>
      <vt:lpstr>wage_growth</vt:lpstr>
      <vt:lpstr>saving_returns</vt:lpstr>
      <vt:lpstr>debt_cost_low</vt:lpstr>
      <vt:lpstr>debt_cost_hi</vt:lpstr>
      <vt:lpstr>carer_hourly_wage</vt:lpstr>
      <vt:lpstr>pension_returns</vt:lpstr>
      <vt:lpstr>housing_returns</vt:lpstr>
      <vt:lpstr>mortgage_rates</vt:lpstr>
      <vt:lpstr>UK 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Patryk Bronka</dc:creator>
  <cp:lastModifiedBy>Justin van de Ven</cp:lastModifiedBy>
  <dcterms:created xsi:type="dcterms:W3CDTF">2015-06-05T18:17:20Z</dcterms:created>
  <dcterms:modified xsi:type="dcterms:W3CDTF">2026-09-23T09:12:52Z</dcterms:modified>
</cp:coreProperties>
</file>